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eld Inventory" sheetId="1" state="visible" r:id="rId3"/>
    <sheet name="Gap Analysis" sheetId="2" state="visible" r:id="rId4"/>
    <sheet name="Accuracy Assessment" sheetId="3" state="visible" r:id="rId5"/>
    <sheet name="Product Completeness" sheetId="4" state="visible" r:id="rId6"/>
    <sheet name="Roadma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<sst xmlns="http://schemas.openxmlformats.org/spreadsheetml/2006/main" count="889" uniqueCount="430">
  <si>
    <t xml:space="preserve">Group</t>
  </si>
  <si>
    <t xml:space="preserve">Field Key</t>
  </si>
  <si>
    <t xml:space="preserve">Label</t>
  </si>
  <si>
    <t xml:space="preserve">Status</t>
  </si>
  <si>
    <t xml:space="preserve">Source Adapter</t>
  </si>
  <si>
    <t xml:space="preserve">Tier</t>
  </si>
  <si>
    <t xml:space="preserve">Data Type</t>
  </si>
  <si>
    <t xml:space="preserve">Sample Value (6 Glenheaton)</t>
  </si>
  <si>
    <t xml:space="preserve">Accuracy</t>
  </si>
  <si>
    <t xml:space="preserve">Buyer Impact</t>
  </si>
  <si>
    <t xml:space="preserve">Notes / Gaps</t>
  </si>
  <si>
    <t xml:space="preserve">Cadastre</t>
  </si>
  <si>
    <t xml:space="preserve">lot_plan</t>
  </si>
  <si>
    <t xml:space="preserve">Lot Plan Number</t>
  </si>
  <si>
    <t xml:space="preserve">LIVE</t>
  </si>
  <si>
    <t xml:space="preserve">bcc-cadastre</t>
  </si>
  <si>
    <t xml:space="preserve">Paid</t>
  </si>
  <si>
    <t xml:space="preserve">String</t>
  </si>
  <si>
    <t xml:space="preserve">15RP182797</t>
  </si>
  <si>
    <t xml:space="preserve">High</t>
  </si>
  <si>
    <t xml:space="preserve">Authoritative BCC source. Exact match.</t>
  </si>
  <si>
    <t xml:space="preserve">lot_area</t>
  </si>
  <si>
    <t xml:space="preserve">Lot Area (m²)</t>
  </si>
  <si>
    <t xml:space="preserve">Free</t>
  </si>
  <si>
    <t xml:space="preserve">Number</t>
  </si>
  <si>
    <t xml:space="preserve">1086</t>
  </si>
  <si>
    <t xml:space="preserve">Official cadastre. Critical for subdivision calcs.</t>
  </si>
  <si>
    <t xml:space="preserve">lot_polygon</t>
  </si>
  <si>
    <t xml:space="preserve">Lot Boundary Polygon</t>
  </si>
  <si>
    <t xml:space="preserve">Both</t>
  </si>
  <si>
    <t xml:space="preserve">GeoJSON</t>
  </si>
  <si>
    <t xml:space="preserve">{type: Polygon, coords: [...]}</t>
  </si>
  <si>
    <t xml:space="preserve">Medium</t>
  </si>
  <si>
    <t xml:space="preserve">Used for all overlay intersection queries.</t>
  </si>
  <si>
    <t xml:space="preserve">Zoning</t>
  </si>
  <si>
    <t xml:space="preserve">zone_code</t>
  </si>
  <si>
    <t xml:space="preserve">Zone Code</t>
  </si>
  <si>
    <t xml:space="preserve">zoneiq</t>
  </si>
  <si>
    <t xml:space="preserve">LDR</t>
  </si>
  <si>
    <t xml:space="preserve">Critical</t>
  </si>
  <si>
    <t xml:space="preserve">From ZoneIQ. Determines what can be built.</t>
  </si>
  <si>
    <t xml:space="preserve">zone_name</t>
  </si>
  <si>
    <t xml:space="preserve">Zone Name</t>
  </si>
  <si>
    <t xml:space="preserve">Low Density Residential</t>
  </si>
  <si>
    <t xml:space="preserve">Human-readable zone label.</t>
  </si>
  <si>
    <t xml:space="preserve">Flood</t>
  </si>
  <si>
    <t xml:space="preserve">flood_creek_fpa</t>
  </si>
  <si>
    <t xml:space="preserve">Creek/Waterway FPA</t>
  </si>
  <si>
    <t xml:space="preserve">bcc-flood</t>
  </si>
  <si>
    <t xml:space="preserve">String/Array</t>
  </si>
  <si>
    <t xml:space="preserve">Creek/waterway FPA 4,5</t>
  </si>
  <si>
    <t xml:space="preserve">BCC authoritative. FPA 1-2 = severe, 3-5 = moderate.</t>
  </si>
  <si>
    <t xml:space="preserve">flood_river_fpa</t>
  </si>
  <si>
    <t xml:space="preserve">Brisbane River FPA</t>
  </si>
  <si>
    <t xml:space="preserve">String/Null</t>
  </si>
  <si>
    <t xml:space="preserve">null</t>
  </si>
  <si>
    <t xml:space="preserve">Only non-null if lot intersects river FPA.</t>
  </si>
  <si>
    <t xml:space="preserve">flood_overland</t>
  </si>
  <si>
    <t xml:space="preserve">Overland Flow</t>
  </si>
  <si>
    <t xml:space="preserve">Boolean</t>
  </si>
  <si>
    <t xml:space="preserve">false</t>
  </si>
  <si>
    <t xml:space="preserve">Stormwater path through lot.</t>
  </si>
  <si>
    <t xml:space="preserve">flood_aep_1pct</t>
  </si>
  <si>
    <t xml:space="preserve">1% AEP Extent</t>
  </si>
  <si>
    <t xml:space="preserve">true</t>
  </si>
  <si>
    <t xml:space="preserve">1-in-100 year flood. Insurance benchmark.</t>
  </si>
  <si>
    <t xml:space="preserve">flood_2011</t>
  </si>
  <si>
    <t xml:space="preserve">Flooded Jan 2011</t>
  </si>
  <si>
    <t xml:space="preserve">Historical inundation. Buyers care deeply.</t>
  </si>
  <si>
    <t xml:space="preserve">flood_2022</t>
  </si>
  <si>
    <t xml:space="preserve">Flooded Feb 2022</t>
  </si>
  <si>
    <t xml:space="preserve">Recent flood event.</t>
  </si>
  <si>
    <t xml:space="preserve">Overlays</t>
  </si>
  <si>
    <t xml:space="preserve">bushfire_hazard</t>
  </si>
  <si>
    <t xml:space="preserve">Bushfire Hazard</t>
  </si>
  <si>
    <t xml:space="preserve">bcc-overlays</t>
  </si>
  <si>
    <t xml:space="preserve">Object</t>
  </si>
  <si>
    <t xml:space="preserve">{affected:true, categories:[Med,High]}</t>
  </si>
  <si>
    <t xml:space="preserve">Structured: affected + categories + plain text.</t>
  </si>
  <si>
    <t xml:space="preserve">heritage_overlay</t>
  </si>
  <si>
    <t xml:space="preserve">Heritage Listing</t>
  </si>
  <si>
    <t xml:space="preserve">Object/Null</t>
  </si>
  <si>
    <t xml:space="preserve">Constrains demolition. +20-40% reno costs.</t>
  </si>
  <si>
    <t xml:space="preserve">character_overlay</t>
  </si>
  <si>
    <t xml:space="preserve">Character Overlay</t>
  </si>
  <si>
    <t xml:space="preserve">{applicable:true, categories:[DHC]}</t>
  </si>
  <si>
    <t xml:space="preserve">DHC or TBC. Stricter design rules.</t>
  </si>
  <si>
    <t xml:space="preserve">koala_habitat</t>
  </si>
  <si>
    <t xml:space="preserve">Koala Habitat</t>
  </si>
  <si>
    <t xml:space="preserve">{affected:true}</t>
  </si>
  <si>
    <t xml:space="preserve">Restricts tree clearing. Environmental assessment may be needed.</t>
  </si>
  <si>
    <t xml:space="preserve">acid_sulfate_soils</t>
  </si>
  <si>
    <t xml:space="preserve">Acid Sulfate Soils</t>
  </si>
  <si>
    <t xml:space="preserve">Low</t>
  </si>
  <si>
    <t xml:space="preserve">Affects foundation design. Rare in elevated suburbs.</t>
  </si>
  <si>
    <t xml:space="preserve">biodiversity_overlay</t>
  </si>
  <si>
    <t xml:space="preserve">Biodiversity</t>
  </si>
  <si>
    <t xml:space="preserve">Vegetation clearing approvals.</t>
  </si>
  <si>
    <t xml:space="preserve">waterway_corridor</t>
  </si>
  <si>
    <t xml:space="preserve">Waterway Corridor</t>
  </si>
  <si>
    <t xml:space="preserve">Setback requirements from watercourses.</t>
  </si>
  <si>
    <t xml:space="preserve">wetlands</t>
  </si>
  <si>
    <t xml:space="preserve">Wetlands</t>
  </si>
  <si>
    <t xml:space="preserve">Restricts filling and drainage changes.</t>
  </si>
  <si>
    <t xml:space="preserve">landslide</t>
  </si>
  <si>
    <t xml:space="preserve">Landslide Risk</t>
  </si>
  <si>
    <t xml:space="preserve">PIVOT</t>
  </si>
  <si>
    <t xml:space="preserve">—</t>
  </si>
  <si>
    <t xml:space="preserve">BCC layer exists. Easy to add. Relevant for hilly suburbs.</t>
  </si>
  <si>
    <t xml:space="preserve">Infrastructure</t>
  </si>
  <si>
    <t xml:space="preserve">road_hierarchy</t>
  </si>
  <si>
    <t xml:space="preserve">Road Hierarchy</t>
  </si>
  <si>
    <t xml:space="preserve">bcc-infrastructure</t>
  </si>
  <si>
    <t xml:space="preserve">{onArterial:false, roadType:Neighbourhood}</t>
  </si>
  <si>
    <t xml:space="preserve">Structured object. Affects noise, value perception.</t>
  </si>
  <si>
    <t xml:space="preserve">hv_powerline</t>
  </si>
  <si>
    <t xml:space="preserve">HV Powerline</t>
  </si>
  <si>
    <t xml:space="preserve">{nearby:true}</t>
  </si>
  <si>
    <t xml:space="preserve">100m buffer check. Significant value impact.</t>
  </si>
  <si>
    <t xml:space="preserve">hv_easement</t>
  </si>
  <si>
    <t xml:space="preserve">HV Easement</t>
  </si>
  <si>
    <t xml:space="preserve">{onLot:true}</t>
  </si>
  <si>
    <t xml:space="preserve">On-lot = cannot build within easement.</t>
  </si>
  <si>
    <t xml:space="preserve">petroleum_pipeline</t>
  </si>
  <si>
    <t xml:space="preserve">Petroleum Pipeline</t>
  </si>
  <si>
    <t xml:space="preserve">Easement presence on/near lot.</t>
  </si>
  <si>
    <t xml:space="preserve">Schools</t>
  </si>
  <si>
    <t xml:space="preserve">school_primary_name</t>
  </si>
  <si>
    <t xml:space="preserve">Primary School</t>
  </si>
  <si>
    <t xml:space="preserve">Carindale State School</t>
  </si>
  <si>
    <t xml:space="preserve">From ZoneIQ catchment data. Occasionally stale.</t>
  </si>
  <si>
    <t xml:space="preserve">school_secondary_name</t>
  </si>
  <si>
    <t xml:space="preserve">Secondary School</t>
  </si>
  <si>
    <t xml:space="preserve">Whites Hill State College</t>
  </si>
  <si>
    <t xml:space="preserve">ZoneIQ catchment. Cross-check with EQ website.</t>
  </si>
  <si>
    <t xml:space="preserve">school_primary_icsea</t>
  </si>
  <si>
    <t xml:space="preserve">Primary ICSEA</t>
  </si>
  <si>
    <t xml:space="preserve">icsea</t>
  </si>
  <si>
    <t xml:space="preserve">1050</t>
  </si>
  <si>
    <t xml:space="preserve">Static ACARA data. 1000=national avg. Updated annually.</t>
  </si>
  <si>
    <t xml:space="preserve">school_secondary_icsea</t>
  </si>
  <si>
    <t xml:space="preserve">Secondary ICSEA</t>
  </si>
  <si>
    <t xml:space="preserve">1020</t>
  </si>
  <si>
    <t xml:space="preserve">Same ACARA source. Key for family buyers.</t>
  </si>
  <si>
    <t xml:space="preserve">Noise</t>
  </si>
  <si>
    <t xml:space="preserve">noise_affected</t>
  </si>
  <si>
    <t xml:space="preserve">Aircraft Noise</t>
  </si>
  <si>
    <t xml:space="preserve">Boolean/Object</t>
  </si>
  <si>
    <t xml:space="preserve">ANEF contour from ZoneIQ. ANEF 20+ = disclosure required.</t>
  </si>
  <si>
    <t xml:space="preserve">Suburb Stats</t>
  </si>
  <si>
    <t xml:space="preserve">suburb_median</t>
  </si>
  <si>
    <t xml:space="preserve">Median Price</t>
  </si>
  <si>
    <t xml:space="preserve">suburb-stats</t>
  </si>
  <si>
    <t xml:space="preserve">1700000</t>
  </si>
  <si>
    <t xml:space="preserve">STATIC TABLE. Drifts over time. Needs live API (CoreLogic/PropTrack).</t>
  </si>
  <si>
    <t xml:space="preserve">suburb_dom</t>
  </si>
  <si>
    <t xml:space="preserve">Days on Market</t>
  </si>
  <si>
    <t xml:space="preserve">26</t>
  </si>
  <si>
    <t xml:space="preserve">STATIC TABLE. Same drift issue. Snapshot in time.</t>
  </si>
  <si>
    <t xml:space="preserve">suburb_growth_12m</t>
  </si>
  <si>
    <t xml:space="preserve">12m Growth</t>
  </si>
  <si>
    <t xml:space="preserve">0.087</t>
  </si>
  <si>
    <t xml:space="preserve">STATIC TABLE. Misleading if data is months old.</t>
  </si>
  <si>
    <t xml:space="preserve">suburb_cagr_10yr</t>
  </si>
  <si>
    <t xml:space="preserve">10yr CAGR</t>
  </si>
  <si>
    <t xml:space="preserve">0.062</t>
  </si>
  <si>
    <t xml:space="preserve">STATIC TABLE. More stable, less drift.</t>
  </si>
  <si>
    <t xml:space="preserve">suburb_clearance_rate</t>
  </si>
  <si>
    <t xml:space="preserve">Clearance Rate</t>
  </si>
  <si>
    <t xml:space="preserve">0.0074</t>
  </si>
  <si>
    <t xml:space="preserve">STATIC TABLE. Less meaningful in Brisbane than Sydney/Melb.</t>
  </si>
  <si>
    <t xml:space="preserve">Images</t>
  </si>
  <si>
    <t xml:space="preserve">satellite_map_url</t>
  </si>
  <si>
    <t xml:space="preserve">Satellite Map</t>
  </si>
  <si>
    <t xml:space="preserve">mapbox</t>
  </si>
  <si>
    <t xml:space="preserve">URL</t>
  </si>
  <si>
    <t xml:space="preserve">Could use Esri World Imagery export. Free. No API key.</t>
  </si>
  <si>
    <t xml:space="preserve">street_view_available</t>
  </si>
  <si>
    <t xml:space="preserve">Street View Flag</t>
  </si>
  <si>
    <t xml:space="preserve">google-streetview</t>
  </si>
  <si>
    <t xml:space="preserve">Google metadata check (free). Shows if SV exists.</t>
  </si>
  <si>
    <t xml:space="preserve">street_view_url</t>
  </si>
  <si>
    <t xml:space="preserve">Street View Photo</t>
  </si>
  <si>
    <t xml:space="preserve">Google Static SV API. ~$7/1000 requests. High buyer value.</t>
  </si>
  <si>
    <t xml:space="preserve">Crime</t>
  </si>
  <si>
    <t xml:space="preserve">crime_rate</t>
  </si>
  <si>
    <t xml:space="preserve">Crime Rate</t>
  </si>
  <si>
    <t xml:space="preserve">qps-crime</t>
  </si>
  <si>
    <t xml:space="preserve">QPS OpenData CSV. Free. SA2-level. Needs ETL pipeline.</t>
  </si>
  <si>
    <t xml:space="preserve">crime_trend_5yr</t>
  </si>
  <si>
    <t xml:space="preserve">Crime Trend</t>
  </si>
  <si>
    <t xml:space="preserve">Derived from 5yr QPS data. Rising/stable/falling.</t>
  </si>
  <si>
    <t xml:space="preserve">Amenity</t>
  </si>
  <si>
    <t xml:space="preserve">parks_500m</t>
  </si>
  <si>
    <t xml:space="preserve">Parks Within 500m</t>
  </si>
  <si>
    <t xml:space="preserve">bcc-amenity</t>
  </si>
  <si>
    <t xml:space="preserve">BCC OpenData. Free. Point-radius query.</t>
  </si>
  <si>
    <t xml:space="preserve">nearest_pool</t>
  </si>
  <si>
    <t xml:space="preserve">Nearest Pool</t>
  </si>
  <si>
    <t xml:space="preserve">BCC OpenData. Nice-to-have.</t>
  </si>
  <si>
    <t xml:space="preserve">nearest_bikeway</t>
  </si>
  <si>
    <t xml:space="preserve">Nearest Bikeway</t>
  </si>
  <si>
    <t xml:space="preserve">BCC OpenData.</t>
  </si>
  <si>
    <t xml:space="preserve">dog_offleash_1km</t>
  </si>
  <si>
    <t xml:space="preserve">Dog Off-Leash</t>
  </si>
  <si>
    <t xml:space="preserve">High signal for dog-owner buyers.</t>
  </si>
  <si>
    <t xml:space="preserve">playgrounds_500m</t>
  </si>
  <si>
    <t xml:space="preserve">Playgrounds</t>
  </si>
  <si>
    <t xml:space="preserve">Key for family buyers.</t>
  </si>
  <si>
    <t xml:space="preserve">Demographics</t>
  </si>
  <si>
    <t xml:space="preserve">median_income</t>
  </si>
  <si>
    <t xml:space="preserve">Median Income</t>
  </si>
  <si>
    <t xml:space="preserve">abs-census</t>
  </si>
  <si>
    <t xml:space="preserve">ABS Census 2021. SA2 level. Free via ABS API.</t>
  </si>
  <si>
    <t xml:space="preserve">owner_occupier_ratio</t>
  </si>
  <si>
    <t xml:space="preserve">Owner-Occupier %</t>
  </si>
  <si>
    <t xml:space="preserve">Higher % = more price stability.</t>
  </si>
  <si>
    <t xml:space="preserve">seifa_index</t>
  </si>
  <si>
    <t xml:space="preserve">SEIFA Index</t>
  </si>
  <si>
    <t xml:space="preserve">Socio-Economic Index. 1000 = avg.</t>
  </si>
  <si>
    <t xml:space="preserve">Valuation</t>
  </si>
  <si>
    <t xml:space="preserve">avm_estimate</t>
  </si>
  <si>
    <t xml:space="preserve">AVM Estimate</t>
  </si>
  <si>
    <t xml:space="preserve">BLOCKED</t>
  </si>
  <si>
    <t xml:space="preserve">proptech-data</t>
  </si>
  <si>
    <t xml:space="preserve">Awaiting PropTechData API terms. THE key paid feature.</t>
  </si>
  <si>
    <t xml:space="preserve">comparable_sales</t>
  </si>
  <si>
    <t xml:space="preserve">Comparable Sales</t>
  </si>
  <si>
    <t xml:space="preserve">Array</t>
  </si>
  <si>
    <t xml:space="preserve">Awaiting VG licence. Top 3-5 recent sales.</t>
  </si>
  <si>
    <t xml:space="preserve">Listing</t>
  </si>
  <si>
    <t xml:space="preserve">listed_price</t>
  </si>
  <si>
    <t xml:space="preserve">Listed Price</t>
  </si>
  <si>
    <t xml:space="preserve">domain</t>
  </si>
  <si>
    <t xml:space="preserve">Domain API. Ticket #2899077.</t>
  </si>
  <si>
    <t xml:space="preserve">days_on_market</t>
  </si>
  <si>
    <t xml:space="preserve">Actual listing age. Currently unavailable.</t>
  </si>
  <si>
    <t xml:space="preserve">Title</t>
  </si>
  <si>
    <t xml:space="preserve">title_type</t>
  </si>
  <si>
    <t xml:space="preserve">Title Type</t>
  </si>
  <si>
    <t xml:space="preserve">infotrack</t>
  </si>
  <si>
    <t xml:space="preserve">Freehold/community/leasehold. InfoTrack API.</t>
  </si>
  <si>
    <t xml:space="preserve">easements</t>
  </si>
  <si>
    <t xml:space="preserve">Registered Easements</t>
  </si>
  <si>
    <t xml:space="preserve">All registered easements on title.</t>
  </si>
  <si>
    <t xml:space="preserve">Priority</t>
  </si>
  <si>
    <t xml:space="preserve">Gap</t>
  </si>
  <si>
    <t xml:space="preserve">Impact on Product</t>
  </si>
  <si>
    <t xml:space="preserve">Effort</t>
  </si>
  <si>
    <t xml:space="preserve">Source</t>
  </si>
  <si>
    <t xml:space="preserve">Cost</t>
  </si>
  <si>
    <t xml:space="preserve">Recommendation</t>
  </si>
  <si>
    <t xml:space="preserve">P0 - Critical</t>
  </si>
  <si>
    <t xml:space="preserve">Suburb stats are STATIC</t>
  </si>
  <si>
    <t xml:space="preserve">Median, DOM, growth data drifts. Buyers see stale numbers. Credibility risk.</t>
  </si>
  <si>
    <t xml:space="preserve">CoreLogic or PropTrack API</t>
  </si>
  <si>
    <t xml:space="preserve">$200-500/mo</t>
  </si>
  <si>
    <t xml:space="preserve">Replace static table with live API. PropTrack has free tier for startups.</t>
  </si>
  <si>
    <t xml:space="preserve">No AVM / comparable sales</t>
  </si>
  <si>
    <t xml:space="preserve">Cannot answer "what is this property worth?" — the #1 buyer question.</t>
  </si>
  <si>
    <t xml:space="preserve">PropTechData API</t>
  </si>
  <si>
    <t xml:space="preserve">TBD</t>
  </si>
  <si>
    <t xml:space="preserve">Chase PropTechData API terms. This is the killer paid feature.</t>
  </si>
  <si>
    <t xml:space="preserve">No listed price / DOM</t>
  </si>
  <si>
    <t xml:space="preserve">Buyer cannot see asking price or how long listed. Must check Domain manually.</t>
  </si>
  <si>
    <t xml:space="preserve">Domain API</t>
  </si>
  <si>
    <t xml:space="preserve">Free tier available</t>
  </si>
  <si>
    <t xml:space="preserve">Follow up Domain ticket #2899077.</t>
  </si>
  <si>
    <t xml:space="preserve">P1 - High</t>
  </si>
  <si>
    <t xml:space="preserve">No street view image</t>
  </si>
  <si>
    <t xml:space="preserve">Buyers want to see the property without visiting. High visual impact.</t>
  </si>
  <si>
    <t xml:space="preserve">Google Static SV API</t>
  </si>
  <si>
    <t xml:space="preserve">~$7/1K requests</t>
  </si>
  <si>
    <t xml:space="preserve">Easy win. Metadata check is free. Image costs per-request.</t>
  </si>
  <si>
    <t xml:space="preserve">No title type / easements</t>
  </si>
  <si>
    <t xml:space="preserve">Buyer doesnt know if freehold/community title or if easements restrict use.</t>
  </si>
  <si>
    <t xml:space="preserve">InfoTrack API</t>
  </si>
  <si>
    <t xml:space="preserve">Per-search fee</t>
  </si>
  <si>
    <t xml:space="preserve">Chase InfoTrack API access. Pass cost to paid tier.</t>
  </si>
  <si>
    <t xml:space="preserve">No crime data</t>
  </si>
  <si>
    <t xml:space="preserve">Safety is top-3 buyer concern. Currently invisible.</t>
  </si>
  <si>
    <t xml:space="preserve">QPS OpenData CSV</t>
  </si>
  <si>
    <t xml:space="preserve">Build ETL from QPS crime stats. SA2-level. Quarterly update.</t>
  </si>
  <si>
    <t xml:space="preserve">Flood overlay not rendering on map</t>
  </si>
  <si>
    <t xml:space="preserve">BCC MapServer may be CORS-blocked. Flood visual is highest-impact map layer.</t>
  </si>
  <si>
    <t xml:space="preserve">Server-side proxy</t>
  </si>
  <si>
    <t xml:space="preserve">Add /api/map-proxy route to pipe BCC MapServer images through PropertyData.</t>
  </si>
  <si>
    <t xml:space="preserve">P2 - Medium</t>
  </si>
  <si>
    <t xml:space="preserve">No amenity data (parks, pools, bikeways)</t>
  </si>
  <si>
    <t xml:space="preserve">Lifestyle factors matter for family/pet-owner buyers.</t>
  </si>
  <si>
    <t xml:space="preserve">BCC OpenData</t>
  </si>
  <si>
    <t xml:space="preserve">BCC has all this as open data. Point-radius queries.</t>
  </si>
  <si>
    <t xml:space="preserve">No demographics (income, owner-occ, SEIFA)</t>
  </si>
  <si>
    <t xml:space="preserve">Suburb socioeconomic profile missing. Useful for investment buyers.</t>
  </si>
  <si>
    <t xml:space="preserve">ABS Census API</t>
  </si>
  <si>
    <t xml:space="preserve">ABS DataPacks. SA2-level. 2021 Census. Free API.</t>
  </si>
  <si>
    <t xml:space="preserve">School catchments from ZoneIQ occasionally stale</t>
  </si>
  <si>
    <t xml:space="preserve">Could show wrong catchment school if boundaries recently changed.</t>
  </si>
  <si>
    <t xml:space="preserve">EQ website scrape</t>
  </si>
  <si>
    <t xml:space="preserve">Add validation against Education QLD. Annual check.</t>
  </si>
  <si>
    <t xml:space="preserve">Landslide susceptibility not built</t>
  </si>
  <si>
    <t xml:space="preserve">BCC layer exists, field defined as PIVOT. Easy overlay query.</t>
  </si>
  <si>
    <t xml:space="preserve">Add 10th overlay query to bcc-overlays.js. 30 min work.</t>
  </si>
  <si>
    <t xml:space="preserve">P3 - Low</t>
  </si>
  <si>
    <t xml:space="preserve">Clearance rate misleading in Brisbane</t>
  </si>
  <si>
    <t xml:space="preserve">Brisbane doesnt auction much. Metric confuses buyers.</t>
  </si>
  <si>
    <t xml:space="preserve">None</t>
  </si>
  <si>
    <t xml:space="preserve">Consider removing or replacing with vendor discount %.</t>
  </si>
  <si>
    <t xml:space="preserve">Growth shown as decimal (0.087) not percentage</t>
  </si>
  <si>
    <t xml:space="preserve">Dashboard shows +0.087% instead of +8.7%. Display bug.</t>
  </si>
  <si>
    <t xml:space="preserve">Fix formatting in report preview and suburb-stats adapter.</t>
  </si>
  <si>
    <t xml:space="preserve">Data Authority</t>
  </si>
  <si>
    <t xml:space="preserve">Update Frequency</t>
  </si>
  <si>
    <t xml:space="preserve">Accuracy Rating</t>
  </si>
  <si>
    <t xml:space="preserve">Known Issues</t>
  </si>
  <si>
    <t xml:space="preserve">Validation Method</t>
  </si>
  <si>
    <t xml:space="preserve">Risk Level</t>
  </si>
  <si>
    <t xml:space="preserve">BCC (authoritative)</t>
  </si>
  <si>
    <t xml:space="preserve">Real-time (live API)</t>
  </si>
  <si>
    <t xml:space="preserve">Very High</t>
  </si>
  <si>
    <t xml:space="preserve">Occasional multi-lot results for strata. Filters to LOT only.</t>
  </si>
  <si>
    <t xml:space="preserve">Cross-check with QLD Globe</t>
  </si>
  <si>
    <t xml:space="preserve">Updated after major events</t>
  </si>
  <si>
    <t xml:space="preserve">None known. 6 layers all from BCC official flood mapping.</t>
  </si>
  <si>
    <t xml:space="preserve">Compare with BCC Flood Awareness Map</t>
  </si>
  <si>
    <t xml:space="preserve">BCC CityPlan (authoritative)</t>
  </si>
  <si>
    <t xml:space="preserve">Updated with plan amendments</t>
  </si>
  <si>
    <t xml:space="preserve">None known. 9 planning overlay layers from CityPlan.</t>
  </si>
  <si>
    <t xml:space="preserve">Compare with BCC CityPlan interactive</t>
  </si>
  <si>
    <t xml:space="preserve">Updated periodically</t>
  </si>
  <si>
    <t xml:space="preserve">Road hierarchy uses 50m buffer — may pick up adjacent roads. HV uses 100m buffer — proximity, not on-lot.</t>
  </si>
  <si>
    <t xml:space="preserve">Visual check on BCC infrastructure map</t>
  </si>
  <si>
    <t xml:space="preserve">ZoneIQ (internal)</t>
  </si>
  <si>
    <t xml:space="preserve">Depends on ZoneIQ sync</t>
  </si>
  <si>
    <t xml:space="preserve">School catchments may lag behind EQ boundary changes. Zone data generally reliable.</t>
  </si>
  <si>
    <t xml:space="preserve">Cross-check with QLD Planning portal</t>
  </si>
  <si>
    <t xml:space="preserve">ACARA (authoritative)</t>
  </si>
  <si>
    <t xml:space="preserve">Annual (static JSON)</t>
  </si>
  <si>
    <t xml:space="preserve">Data file must be regenerated annually. Schools not in file return null.</t>
  </si>
  <si>
    <t xml:space="preserve">Compare with MySchool website</t>
  </si>
  <si>
    <t xml:space="preserve">STATIC TABLE (manual)</t>
  </si>
  <si>
    <t xml:space="preserve">Never (hardcoded)</t>
  </si>
  <si>
    <t xml:space="preserve">LOW — STALE</t>
  </si>
  <si>
    <t xml:space="preserve">Data was a point-in-time snapshot. Drifts every month. ~100 suburbs only. Major credibility risk.</t>
  </si>
  <si>
    <t xml:space="preserve">Compare with CoreLogic/Domain median</t>
  </si>
  <si>
    <t xml:space="preserve">HIGH</t>
  </si>
  <si>
    <t xml:space="preserve">Report Section</t>
  </si>
  <si>
    <t xml:space="preserve">Fields Available</t>
  </si>
  <si>
    <t xml:space="preserve">Fields Needed</t>
  </si>
  <si>
    <t xml:space="preserve">Completeness</t>
  </si>
  <si>
    <t xml:space="preserve">Missing For Launch</t>
  </si>
  <si>
    <t xml:space="preserve">Property Identity</t>
  </si>
  <si>
    <t xml:space="preserve">100%</t>
  </si>
  <si>
    <t xml:space="preserve">Done</t>
  </si>
  <si>
    <t xml:space="preserve">Zoning &amp; Planning</t>
  </si>
  <si>
    <t xml:space="preserve">Flood Risk</t>
  </si>
  <si>
    <t xml:space="preserve">Environmental Overlays</t>
  </si>
  <si>
    <t xml:space="preserve">89%</t>
  </si>
  <si>
    <t xml:space="preserve">Landslide (easy to add)</t>
  </si>
  <si>
    <t xml:space="preserve">P2</t>
  </si>
  <si>
    <t xml:space="preserve">Infrastructure Risk</t>
  </si>
  <si>
    <t xml:space="preserve">School Catchment</t>
  </si>
  <si>
    <t xml:space="preserve">Suburb Market Stats</t>
  </si>
  <si>
    <t xml:space="preserve">100%*</t>
  </si>
  <si>
    <t xml:space="preserve">*Data is STATIC. Needs live API to be credible.</t>
  </si>
  <si>
    <t xml:space="preserve">P0</t>
  </si>
  <si>
    <t xml:space="preserve">Property Valuation</t>
  </si>
  <si>
    <t xml:space="preserve">0%</t>
  </si>
  <si>
    <t xml:space="preserve">AVM + comparable sales (PropTechData)</t>
  </si>
  <si>
    <t xml:space="preserve">Listing Info</t>
  </si>
  <si>
    <t xml:space="preserve">Listed price + actual DOM (Domain API)</t>
  </si>
  <si>
    <t xml:space="preserve">Title &amp; Easements</t>
  </si>
  <si>
    <t xml:space="preserve">Title type + registered easements (InfoTrack)</t>
  </si>
  <si>
    <t xml:space="preserve">P1</t>
  </si>
  <si>
    <t xml:space="preserve">Street View</t>
  </si>
  <si>
    <t xml:space="preserve">Google Street View image</t>
  </si>
  <si>
    <t xml:space="preserve">Crime &amp; Safety</t>
  </si>
  <si>
    <t xml:space="preserve">Crime rate + 5yr trend (QPS OpenData)</t>
  </si>
  <si>
    <t xml:space="preserve">Amenity / Lifestyle</t>
  </si>
  <si>
    <t xml:space="preserve">Parks, pools, bikeways, playgrounds, dog areas</t>
  </si>
  <si>
    <t xml:space="preserve">Income, owner-occ %, SEIFA index</t>
  </si>
  <si>
    <t xml:space="preserve">Map Imagery</t>
  </si>
  <si>
    <t xml:space="preserve">67%</t>
  </si>
  <si>
    <t xml:space="preserve">Flood overlay rendering (CORS proxy needed)</t>
  </si>
  <si>
    <t xml:space="preserve">TOTAL</t>
  </si>
  <si>
    <t xml:space="preserve">Sprint</t>
  </si>
  <si>
    <t xml:space="preserve">Task</t>
  </si>
  <si>
    <t xml:space="preserve">Dependency</t>
  </si>
  <si>
    <t xml:space="preserve">Outcome</t>
  </si>
  <si>
    <t xml:space="preserve">Sprint 3</t>
  </si>
  <si>
    <t xml:space="preserve">Fix suburb stats display (0.087 → 8.7%)</t>
  </si>
  <si>
    <t xml:space="preserve">1 hr</t>
  </si>
  <si>
    <t xml:space="preserve">Correct % display on report preview</t>
  </si>
  <si>
    <t xml:space="preserve">Add landslide overlay to bcc-overlays.js</t>
  </si>
  <si>
    <t xml:space="preserve">30 min</t>
  </si>
  <si>
    <t xml:space="preserve">10th overlay query. Completes environmental group.</t>
  </si>
  <si>
    <t xml:space="preserve">Add /api/map-proxy for BCC MapServer images</t>
  </si>
  <si>
    <t xml:space="preserve">2 hr</t>
  </si>
  <si>
    <t xml:space="preserve">Flood overlay renders on map. CORS solved.</t>
  </si>
  <si>
    <t xml:space="preserve">Fix road_hierarchy display on report</t>
  </si>
  <si>
    <t xml:space="preserve">Shows "Neighbourhood / local" not raw JSON.</t>
  </si>
  <si>
    <t xml:space="preserve">Wire up clearance rate as percentage</t>
  </si>
  <si>
    <t xml:space="preserve">Shows 74% not 0.0074.</t>
  </si>
  <si>
    <t xml:space="preserve">Sprint 4</t>
  </si>
  <si>
    <t xml:space="preserve">Integrate QPS crime data</t>
  </si>
  <si>
    <t xml:space="preserve">4 hr</t>
  </si>
  <si>
    <t xml:space="preserve">Crime rate + 5yr trend. Free. SA2-level.</t>
  </si>
  <si>
    <t xml:space="preserve">Add Google Street View</t>
  </si>
  <si>
    <t xml:space="preserve">Google API key ($7/1K)</t>
  </si>
  <si>
    <t xml:space="preserve">Street view image on report. High buyer impact.</t>
  </si>
  <si>
    <t xml:space="preserve">Replace static suburb-stats with PropTrack API</t>
  </si>
  <si>
    <t xml:space="preserve">8 hr</t>
  </si>
  <si>
    <t xml:space="preserve">PropTrack startup access</t>
  </si>
  <si>
    <t xml:space="preserve">Live median, DOM, growth. Kills #1 credibility risk.</t>
  </si>
  <si>
    <t xml:space="preserve">Sprint 5</t>
  </si>
  <si>
    <t xml:space="preserve">Add BCC amenity queries (parks, pools, bikeways)</t>
  </si>
  <si>
    <t xml:space="preserve">Lifestyle data for family buyers. Free.</t>
  </si>
  <si>
    <t xml:space="preserve">Add ABS Census demographics</t>
  </si>
  <si>
    <t xml:space="preserve">ABS API (free)</t>
  </si>
  <si>
    <t xml:space="preserve">Income, owner-occ %, SEIFA. Investment buyer data.</t>
  </si>
  <si>
    <t xml:space="preserve">Integrate Domain listed price / DOM</t>
  </si>
  <si>
    <t xml:space="preserve">Domain API approval</t>
  </si>
  <si>
    <t xml:space="preserve">Actual asking price and listing age.</t>
  </si>
  <si>
    <t xml:space="preserve">Sprint 6</t>
  </si>
  <si>
    <t xml:space="preserve">Integrate PropTechData AVM + comps</t>
  </si>
  <si>
    <t xml:space="preserve">API terms agreed</t>
  </si>
  <si>
    <t xml:space="preserve">Automated valuation. THE killer paid feature.</t>
  </si>
  <si>
    <t xml:space="preserve">Integrate InfoTrack title search</t>
  </si>
  <si>
    <t xml:space="preserve">InfoTrack API access</t>
  </si>
  <si>
    <t xml:space="preserve">Title type + easements. Pass cost to paid tier.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</si>
</sst>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F1F5F9"/>
        <bgColor rgb="FFFFFFFF"/>
      </patternFill>
    </fill>
    <fill>
      <patternFill patternType="solid">
        <fgColor rgb="FFDCFCE7"/>
        <bgColor rgb="FFF1F5F9"/>
      </patternFill>
    </fill>
    <fill>
      <patternFill patternType="solid">
        <fgColor rgb="FFDBEAFE"/>
        <bgColor rgb="FFF1F5F9"/>
      </patternFill>
    </fill>
    <fill>
      <patternFill patternType="solid">
        <fgColor rgb="FFFEE2E2"/>
        <bgColor rgb="FFFFEDD5"/>
      </patternFill>
    </fill>
    <fill>
      <patternFill patternType="solid">
        <fgColor rgb="FFFFEDD5"/>
        <bgColor rgb="FFFEE2E2"/>
      </patternFill>
    </fill>
    <fill>
      <patternFill patternType="solid">
        <fgColor rgb="FFFEF9C3"/>
        <bgColor rgb="FFFFED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EF4444"/>
      <rgbColor rgb="FFFEF9C3"/>
      <rgbColor rgb="FFDCFCE7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1F5F9"/>
      <rgbColor rgb="FFFFEDD5"/>
      <rgbColor rgb="FF99CCFF"/>
      <rgbColor rgb="FFFF99CC"/>
      <rgbColor rgb="FFCC99FF"/>
      <rgbColor rgb="FFFEE2E2"/>
      <rgbColor rgb="FF3B82F6"/>
      <rgbColor rgb="FF33CCCC"/>
      <rgbColor rgb="FF99CC00"/>
      <rgbColor rgb="FFFFCC00"/>
      <rgbColor rgb="FFFF9900"/>
      <rgbColor rgb="FFF97316"/>
      <rgbColor rgb="FF666699"/>
      <rgbColor rgb="FF969696"/>
      <rgbColor rgb="FF003366"/>
      <rgbColor rgb="FF22C55E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93B"/>
    <pageSetUpPr fitToPage="false"/>
  </sheetPr>
  <dimension ref="A1:K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3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20</v>
      </c>
    </row>
    <row r="3" customFormat="false" ht="15" hidden="false" customHeight="false" outlineLevel="0" collapsed="false">
      <c r="A3" s="4" t="s">
        <v>11</v>
      </c>
      <c r="B3" s="4" t="s">
        <v>21</v>
      </c>
      <c r="C3" s="4" t="s">
        <v>22</v>
      </c>
      <c r="D3" s="3" t="s">
        <v>14</v>
      </c>
      <c r="E3" s="4" t="s">
        <v>15</v>
      </c>
      <c r="F3" s="4" t="s">
        <v>23</v>
      </c>
      <c r="G3" s="4" t="s">
        <v>24</v>
      </c>
      <c r="H3" s="4" t="s">
        <v>25</v>
      </c>
      <c r="I3" s="4" t="s">
        <v>19</v>
      </c>
      <c r="J3" s="4" t="s">
        <v>19</v>
      </c>
      <c r="K3" s="4" t="s">
        <v>26</v>
      </c>
    </row>
    <row r="4" customFormat="false" ht="15" hidden="false" customHeight="false" outlineLevel="0" collapsed="false">
      <c r="A4" s="2" t="s">
        <v>11</v>
      </c>
      <c r="B4" s="2" t="s">
        <v>27</v>
      </c>
      <c r="C4" s="2" t="s">
        <v>28</v>
      </c>
      <c r="D4" s="3" t="s">
        <v>14</v>
      </c>
      <c r="E4" s="2" t="s">
        <v>15</v>
      </c>
      <c r="F4" s="2" t="s">
        <v>29</v>
      </c>
      <c r="G4" s="2" t="s">
        <v>30</v>
      </c>
      <c r="H4" s="2" t="s">
        <v>31</v>
      </c>
      <c r="I4" s="2" t="s">
        <v>19</v>
      </c>
      <c r="J4" s="2" t="s">
        <v>32</v>
      </c>
      <c r="K4" s="2" t="s">
        <v>33</v>
      </c>
    </row>
    <row r="5" customFormat="false" ht="15" hidden="false" customHeight="false" outlineLevel="0" collapsed="false">
      <c r="A5" s="4" t="s">
        <v>34</v>
      </c>
      <c r="B5" s="4" t="s">
        <v>35</v>
      </c>
      <c r="C5" s="4" t="s">
        <v>36</v>
      </c>
      <c r="D5" s="3" t="s">
        <v>14</v>
      </c>
      <c r="E5" s="4" t="s">
        <v>37</v>
      </c>
      <c r="F5" s="4" t="s">
        <v>23</v>
      </c>
      <c r="G5" s="4" t="s">
        <v>17</v>
      </c>
      <c r="H5" s="4" t="s">
        <v>38</v>
      </c>
      <c r="I5" s="4" t="s">
        <v>19</v>
      </c>
      <c r="J5" s="4" t="s">
        <v>39</v>
      </c>
      <c r="K5" s="4" t="s">
        <v>40</v>
      </c>
    </row>
    <row r="6" customFormat="false" ht="15" hidden="false" customHeight="false" outlineLevel="0" collapsed="false">
      <c r="A6" s="2" t="s">
        <v>34</v>
      </c>
      <c r="B6" s="2" t="s">
        <v>41</v>
      </c>
      <c r="C6" s="2" t="s">
        <v>42</v>
      </c>
      <c r="D6" s="3" t="s">
        <v>14</v>
      </c>
      <c r="E6" s="2" t="s">
        <v>37</v>
      </c>
      <c r="F6" s="2" t="s">
        <v>23</v>
      </c>
      <c r="G6" s="2" t="s">
        <v>17</v>
      </c>
      <c r="H6" s="2" t="s">
        <v>43</v>
      </c>
      <c r="I6" s="2" t="s">
        <v>19</v>
      </c>
      <c r="J6" s="2" t="s">
        <v>39</v>
      </c>
      <c r="K6" s="2" t="s">
        <v>44</v>
      </c>
    </row>
    <row r="7" customFormat="false" ht="15" hidden="false" customHeight="false" outlineLevel="0" collapsed="false">
      <c r="A7" s="4" t="s">
        <v>45</v>
      </c>
      <c r="B7" s="4" t="s">
        <v>46</v>
      </c>
      <c r="C7" s="4" t="s">
        <v>47</v>
      </c>
      <c r="D7" s="3" t="s">
        <v>14</v>
      </c>
      <c r="E7" s="4" t="s">
        <v>48</v>
      </c>
      <c r="F7" s="4" t="s">
        <v>29</v>
      </c>
      <c r="G7" s="4" t="s">
        <v>49</v>
      </c>
      <c r="H7" s="4" t="s">
        <v>50</v>
      </c>
      <c r="I7" s="4" t="s">
        <v>19</v>
      </c>
      <c r="J7" s="4" t="s">
        <v>39</v>
      </c>
      <c r="K7" s="4" t="s">
        <v>51</v>
      </c>
    </row>
    <row r="8" customFormat="false" ht="15" hidden="false" customHeight="false" outlineLevel="0" collapsed="false">
      <c r="A8" s="2" t="s">
        <v>45</v>
      </c>
      <c r="B8" s="2" t="s">
        <v>52</v>
      </c>
      <c r="C8" s="2" t="s">
        <v>53</v>
      </c>
      <c r="D8" s="3" t="s">
        <v>14</v>
      </c>
      <c r="E8" s="2" t="s">
        <v>48</v>
      </c>
      <c r="F8" s="2" t="s">
        <v>29</v>
      </c>
      <c r="G8" s="2" t="s">
        <v>54</v>
      </c>
      <c r="H8" s="2" t="s">
        <v>55</v>
      </c>
      <c r="I8" s="2" t="s">
        <v>19</v>
      </c>
      <c r="J8" s="2" t="s">
        <v>39</v>
      </c>
      <c r="K8" s="2" t="s">
        <v>56</v>
      </c>
    </row>
    <row r="9" customFormat="false" ht="15" hidden="false" customHeight="false" outlineLevel="0" collapsed="false">
      <c r="A9" s="4" t="s">
        <v>45</v>
      </c>
      <c r="B9" s="4" t="s">
        <v>57</v>
      </c>
      <c r="C9" s="4" t="s">
        <v>58</v>
      </c>
      <c r="D9" s="3" t="s">
        <v>14</v>
      </c>
      <c r="E9" s="4" t="s">
        <v>48</v>
      </c>
      <c r="F9" s="4" t="s">
        <v>29</v>
      </c>
      <c r="G9" s="4" t="s">
        <v>59</v>
      </c>
      <c r="H9" s="4" t="s">
        <v>60</v>
      </c>
      <c r="I9" s="4" t="s">
        <v>19</v>
      </c>
      <c r="J9" s="4" t="s">
        <v>19</v>
      </c>
      <c r="K9" s="4" t="s">
        <v>61</v>
      </c>
    </row>
    <row r="10" customFormat="false" ht="15" hidden="false" customHeight="false" outlineLevel="0" collapsed="false">
      <c r="A10" s="2" t="s">
        <v>45</v>
      </c>
      <c r="B10" s="2" t="s">
        <v>62</v>
      </c>
      <c r="C10" s="2" t="s">
        <v>63</v>
      </c>
      <c r="D10" s="3" t="s">
        <v>14</v>
      </c>
      <c r="E10" s="2" t="s">
        <v>48</v>
      </c>
      <c r="F10" s="2" t="s">
        <v>29</v>
      </c>
      <c r="G10" s="2" t="s">
        <v>59</v>
      </c>
      <c r="H10" s="2" t="s">
        <v>64</v>
      </c>
      <c r="I10" s="2" t="s">
        <v>19</v>
      </c>
      <c r="J10" s="2" t="s">
        <v>39</v>
      </c>
      <c r="K10" s="2" t="s">
        <v>65</v>
      </c>
    </row>
    <row r="11" customFormat="false" ht="15" hidden="false" customHeight="false" outlineLevel="0" collapsed="false">
      <c r="A11" s="4" t="s">
        <v>45</v>
      </c>
      <c r="B11" s="4" t="s">
        <v>66</v>
      </c>
      <c r="C11" s="4" t="s">
        <v>67</v>
      </c>
      <c r="D11" s="3" t="s">
        <v>14</v>
      </c>
      <c r="E11" s="4" t="s">
        <v>48</v>
      </c>
      <c r="F11" s="4" t="s">
        <v>29</v>
      </c>
      <c r="G11" s="4" t="s">
        <v>59</v>
      </c>
      <c r="H11" s="4" t="s">
        <v>60</v>
      </c>
      <c r="I11" s="4" t="s">
        <v>19</v>
      </c>
      <c r="J11" s="4" t="s">
        <v>19</v>
      </c>
      <c r="K11" s="4" t="s">
        <v>68</v>
      </c>
    </row>
    <row r="12" customFormat="false" ht="15" hidden="false" customHeight="false" outlineLevel="0" collapsed="false">
      <c r="A12" s="2" t="s">
        <v>45</v>
      </c>
      <c r="B12" s="2" t="s">
        <v>69</v>
      </c>
      <c r="C12" s="2" t="s">
        <v>70</v>
      </c>
      <c r="D12" s="3" t="s">
        <v>14</v>
      </c>
      <c r="E12" s="2" t="s">
        <v>48</v>
      </c>
      <c r="F12" s="2" t="s">
        <v>29</v>
      </c>
      <c r="G12" s="2" t="s">
        <v>59</v>
      </c>
      <c r="H12" s="2" t="s">
        <v>60</v>
      </c>
      <c r="I12" s="2" t="s">
        <v>19</v>
      </c>
      <c r="J12" s="2" t="s">
        <v>19</v>
      </c>
      <c r="K12" s="2" t="s">
        <v>71</v>
      </c>
    </row>
    <row r="13" customFormat="false" ht="15" hidden="false" customHeight="false" outlineLevel="0" collapsed="false">
      <c r="A13" s="4" t="s">
        <v>72</v>
      </c>
      <c r="B13" s="4" t="s">
        <v>73</v>
      </c>
      <c r="C13" s="4" t="s">
        <v>74</v>
      </c>
      <c r="D13" s="3" t="s">
        <v>14</v>
      </c>
      <c r="E13" s="4" t="s">
        <v>75</v>
      </c>
      <c r="F13" s="4" t="s">
        <v>29</v>
      </c>
      <c r="G13" s="4" t="s">
        <v>76</v>
      </c>
      <c r="H13" s="4" t="s">
        <v>77</v>
      </c>
      <c r="I13" s="4" t="s">
        <v>19</v>
      </c>
      <c r="J13" s="4" t="s">
        <v>19</v>
      </c>
      <c r="K13" s="4" t="s">
        <v>78</v>
      </c>
    </row>
    <row r="14" customFormat="false" ht="15" hidden="false" customHeight="false" outlineLevel="0" collapsed="false">
      <c r="A14" s="2" t="s">
        <v>72</v>
      </c>
      <c r="B14" s="2" t="s">
        <v>79</v>
      </c>
      <c r="C14" s="2" t="s">
        <v>80</v>
      </c>
      <c r="D14" s="3" t="s">
        <v>14</v>
      </c>
      <c r="E14" s="2" t="s">
        <v>75</v>
      </c>
      <c r="F14" s="2" t="s">
        <v>29</v>
      </c>
      <c r="G14" s="2" t="s">
        <v>81</v>
      </c>
      <c r="H14" s="2" t="s">
        <v>55</v>
      </c>
      <c r="I14" s="2" t="s">
        <v>19</v>
      </c>
      <c r="J14" s="2" t="s">
        <v>19</v>
      </c>
      <c r="K14" s="2" t="s">
        <v>82</v>
      </c>
    </row>
    <row r="15" customFormat="false" ht="15" hidden="false" customHeight="false" outlineLevel="0" collapsed="false">
      <c r="A15" s="4" t="s">
        <v>72</v>
      </c>
      <c r="B15" s="4" t="s">
        <v>83</v>
      </c>
      <c r="C15" s="4" t="s">
        <v>84</v>
      </c>
      <c r="D15" s="3" t="s">
        <v>14</v>
      </c>
      <c r="E15" s="4" t="s">
        <v>75</v>
      </c>
      <c r="F15" s="4" t="s">
        <v>29</v>
      </c>
      <c r="G15" s="4" t="s">
        <v>76</v>
      </c>
      <c r="H15" s="4" t="s">
        <v>85</v>
      </c>
      <c r="I15" s="4" t="s">
        <v>19</v>
      </c>
      <c r="J15" s="4" t="s">
        <v>32</v>
      </c>
      <c r="K15" s="4" t="s">
        <v>86</v>
      </c>
    </row>
    <row r="16" customFormat="false" ht="15" hidden="false" customHeight="false" outlineLevel="0" collapsed="false">
      <c r="A16" s="2" t="s">
        <v>72</v>
      </c>
      <c r="B16" s="2" t="s">
        <v>87</v>
      </c>
      <c r="C16" s="2" t="s">
        <v>88</v>
      </c>
      <c r="D16" s="3" t="s">
        <v>14</v>
      </c>
      <c r="E16" s="2" t="s">
        <v>75</v>
      </c>
      <c r="F16" s="2" t="s">
        <v>23</v>
      </c>
      <c r="G16" s="2" t="s">
        <v>76</v>
      </c>
      <c r="H16" s="2" t="s">
        <v>89</v>
      </c>
      <c r="I16" s="2" t="s">
        <v>19</v>
      </c>
      <c r="J16" s="2" t="s">
        <v>32</v>
      </c>
      <c r="K16" s="2" t="s">
        <v>90</v>
      </c>
    </row>
    <row r="17" customFormat="false" ht="15" hidden="false" customHeight="false" outlineLevel="0" collapsed="false">
      <c r="A17" s="4" t="s">
        <v>72</v>
      </c>
      <c r="B17" s="4" t="s">
        <v>91</v>
      </c>
      <c r="C17" s="4" t="s">
        <v>92</v>
      </c>
      <c r="D17" s="3" t="s">
        <v>14</v>
      </c>
      <c r="E17" s="4" t="s">
        <v>75</v>
      </c>
      <c r="F17" s="4" t="s">
        <v>29</v>
      </c>
      <c r="G17" s="4" t="s">
        <v>81</v>
      </c>
      <c r="H17" s="4" t="s">
        <v>55</v>
      </c>
      <c r="I17" s="4" t="s">
        <v>19</v>
      </c>
      <c r="J17" s="4" t="s">
        <v>93</v>
      </c>
      <c r="K17" s="4" t="s">
        <v>94</v>
      </c>
    </row>
    <row r="18" customFormat="false" ht="15" hidden="false" customHeight="false" outlineLevel="0" collapsed="false">
      <c r="A18" s="2" t="s">
        <v>72</v>
      </c>
      <c r="B18" s="2" t="s">
        <v>95</v>
      </c>
      <c r="C18" s="2" t="s">
        <v>96</v>
      </c>
      <c r="D18" s="3" t="s">
        <v>14</v>
      </c>
      <c r="E18" s="2" t="s">
        <v>75</v>
      </c>
      <c r="F18" s="2" t="s">
        <v>23</v>
      </c>
      <c r="G18" s="2" t="s">
        <v>81</v>
      </c>
      <c r="H18" s="2" t="s">
        <v>55</v>
      </c>
      <c r="I18" s="2" t="s">
        <v>19</v>
      </c>
      <c r="J18" s="2" t="s">
        <v>93</v>
      </c>
      <c r="K18" s="2" t="s">
        <v>97</v>
      </c>
    </row>
    <row r="19" customFormat="false" ht="15" hidden="false" customHeight="false" outlineLevel="0" collapsed="false">
      <c r="A19" s="4" t="s">
        <v>72</v>
      </c>
      <c r="B19" s="4" t="s">
        <v>98</v>
      </c>
      <c r="C19" s="4" t="s">
        <v>99</v>
      </c>
      <c r="D19" s="3" t="s">
        <v>14</v>
      </c>
      <c r="E19" s="4" t="s">
        <v>75</v>
      </c>
      <c r="F19" s="4" t="s">
        <v>23</v>
      </c>
      <c r="G19" s="4" t="s">
        <v>76</v>
      </c>
      <c r="H19" s="4" t="s">
        <v>89</v>
      </c>
      <c r="I19" s="4" t="s">
        <v>19</v>
      </c>
      <c r="J19" s="4" t="s">
        <v>32</v>
      </c>
      <c r="K19" s="4" t="s">
        <v>100</v>
      </c>
    </row>
    <row r="20" customFormat="false" ht="15" hidden="false" customHeight="false" outlineLevel="0" collapsed="false">
      <c r="A20" s="2" t="s">
        <v>72</v>
      </c>
      <c r="B20" s="2" t="s">
        <v>101</v>
      </c>
      <c r="C20" s="2" t="s">
        <v>102</v>
      </c>
      <c r="D20" s="3" t="s">
        <v>14</v>
      </c>
      <c r="E20" s="2" t="s">
        <v>75</v>
      </c>
      <c r="F20" s="2" t="s">
        <v>23</v>
      </c>
      <c r="G20" s="2" t="s">
        <v>76</v>
      </c>
      <c r="H20" s="2" t="s">
        <v>89</v>
      </c>
      <c r="I20" s="2" t="s">
        <v>19</v>
      </c>
      <c r="J20" s="2" t="s">
        <v>32</v>
      </c>
      <c r="K20" s="2" t="s">
        <v>103</v>
      </c>
    </row>
    <row r="21" customFormat="false" ht="15" hidden="false" customHeight="false" outlineLevel="0" collapsed="false">
      <c r="A21" s="4" t="s">
        <v>72</v>
      </c>
      <c r="B21" s="4" t="s">
        <v>104</v>
      </c>
      <c r="C21" s="4" t="s">
        <v>105</v>
      </c>
      <c r="D21" s="5" t="s">
        <v>106</v>
      </c>
      <c r="E21" s="4" t="s">
        <v>75</v>
      </c>
      <c r="F21" s="4" t="s">
        <v>23</v>
      </c>
      <c r="G21" s="4" t="s">
        <v>76</v>
      </c>
      <c r="H21" s="4" t="s">
        <v>107</v>
      </c>
      <c r="I21" s="4" t="s">
        <v>107</v>
      </c>
      <c r="J21" s="4" t="s">
        <v>32</v>
      </c>
      <c r="K21" s="4" t="s">
        <v>108</v>
      </c>
    </row>
    <row r="22" customFormat="false" ht="23.85" hidden="false" customHeight="false" outlineLevel="0" collapsed="false">
      <c r="A22" s="2" t="s">
        <v>109</v>
      </c>
      <c r="B22" s="2" t="s">
        <v>110</v>
      </c>
      <c r="C22" s="2" t="s">
        <v>111</v>
      </c>
      <c r="D22" s="3" t="s">
        <v>14</v>
      </c>
      <c r="E22" s="2" t="s">
        <v>112</v>
      </c>
      <c r="F22" s="2" t="s">
        <v>23</v>
      </c>
      <c r="G22" s="2" t="s">
        <v>76</v>
      </c>
      <c r="H22" s="2" t="s">
        <v>113</v>
      </c>
      <c r="I22" s="2" t="s">
        <v>19</v>
      </c>
      <c r="J22" s="2" t="s">
        <v>32</v>
      </c>
      <c r="K22" s="2" t="s">
        <v>114</v>
      </c>
    </row>
    <row r="23" customFormat="false" ht="15" hidden="false" customHeight="false" outlineLevel="0" collapsed="false">
      <c r="A23" s="4" t="s">
        <v>109</v>
      </c>
      <c r="B23" s="4" t="s">
        <v>115</v>
      </c>
      <c r="C23" s="4" t="s">
        <v>116</v>
      </c>
      <c r="D23" s="3" t="s">
        <v>14</v>
      </c>
      <c r="E23" s="4" t="s">
        <v>112</v>
      </c>
      <c r="F23" s="4" t="s">
        <v>29</v>
      </c>
      <c r="G23" s="4" t="s">
        <v>76</v>
      </c>
      <c r="H23" s="4" t="s">
        <v>117</v>
      </c>
      <c r="I23" s="4" t="s">
        <v>19</v>
      </c>
      <c r="J23" s="4" t="s">
        <v>19</v>
      </c>
      <c r="K23" s="4" t="s">
        <v>118</v>
      </c>
    </row>
    <row r="24" customFormat="false" ht="15" hidden="false" customHeight="false" outlineLevel="0" collapsed="false">
      <c r="A24" s="2" t="s">
        <v>109</v>
      </c>
      <c r="B24" s="2" t="s">
        <v>119</v>
      </c>
      <c r="C24" s="2" t="s">
        <v>120</v>
      </c>
      <c r="D24" s="3" t="s">
        <v>14</v>
      </c>
      <c r="E24" s="2" t="s">
        <v>112</v>
      </c>
      <c r="F24" s="2" t="s">
        <v>29</v>
      </c>
      <c r="G24" s="2" t="s">
        <v>76</v>
      </c>
      <c r="H24" s="2" t="s">
        <v>121</v>
      </c>
      <c r="I24" s="2" t="s">
        <v>19</v>
      </c>
      <c r="J24" s="2" t="s">
        <v>19</v>
      </c>
      <c r="K24" s="2" t="s">
        <v>122</v>
      </c>
    </row>
    <row r="25" customFormat="false" ht="15" hidden="false" customHeight="false" outlineLevel="0" collapsed="false">
      <c r="A25" s="4" t="s">
        <v>109</v>
      </c>
      <c r="B25" s="4" t="s">
        <v>123</v>
      </c>
      <c r="C25" s="4" t="s">
        <v>124</v>
      </c>
      <c r="D25" s="3" t="s">
        <v>14</v>
      </c>
      <c r="E25" s="4" t="s">
        <v>112</v>
      </c>
      <c r="F25" s="4" t="s">
        <v>23</v>
      </c>
      <c r="G25" s="4" t="s">
        <v>76</v>
      </c>
      <c r="H25" s="4" t="s">
        <v>89</v>
      </c>
      <c r="I25" s="4" t="s">
        <v>19</v>
      </c>
      <c r="J25" s="4" t="s">
        <v>32</v>
      </c>
      <c r="K25" s="4" t="s">
        <v>125</v>
      </c>
    </row>
    <row r="26" customFormat="false" ht="15" hidden="false" customHeight="false" outlineLevel="0" collapsed="false">
      <c r="A26" s="2" t="s">
        <v>126</v>
      </c>
      <c r="B26" s="2" t="s">
        <v>127</v>
      </c>
      <c r="C26" s="2" t="s">
        <v>128</v>
      </c>
      <c r="D26" s="3" t="s">
        <v>14</v>
      </c>
      <c r="E26" s="2" t="s">
        <v>37</v>
      </c>
      <c r="F26" s="2" t="s">
        <v>23</v>
      </c>
      <c r="G26" s="2" t="s">
        <v>17</v>
      </c>
      <c r="H26" s="2" t="s">
        <v>129</v>
      </c>
      <c r="I26" s="2" t="s">
        <v>32</v>
      </c>
      <c r="J26" s="2" t="s">
        <v>19</v>
      </c>
      <c r="K26" s="2" t="s">
        <v>130</v>
      </c>
    </row>
    <row r="27" customFormat="false" ht="15" hidden="false" customHeight="false" outlineLevel="0" collapsed="false">
      <c r="A27" s="4" t="s">
        <v>126</v>
      </c>
      <c r="B27" s="4" t="s">
        <v>131</v>
      </c>
      <c r="C27" s="4" t="s">
        <v>132</v>
      </c>
      <c r="D27" s="3" t="s">
        <v>14</v>
      </c>
      <c r="E27" s="4" t="s">
        <v>37</v>
      </c>
      <c r="F27" s="4" t="s">
        <v>23</v>
      </c>
      <c r="G27" s="4" t="s">
        <v>17</v>
      </c>
      <c r="H27" s="4" t="s">
        <v>133</v>
      </c>
      <c r="I27" s="4" t="s">
        <v>32</v>
      </c>
      <c r="J27" s="4" t="s">
        <v>19</v>
      </c>
      <c r="K27" s="4" t="s">
        <v>134</v>
      </c>
    </row>
    <row r="28" customFormat="false" ht="15" hidden="false" customHeight="false" outlineLevel="0" collapsed="false">
      <c r="A28" s="2" t="s">
        <v>126</v>
      </c>
      <c r="B28" s="2" t="s">
        <v>135</v>
      </c>
      <c r="C28" s="2" t="s">
        <v>136</v>
      </c>
      <c r="D28" s="3" t="s">
        <v>14</v>
      </c>
      <c r="E28" s="2" t="s">
        <v>137</v>
      </c>
      <c r="F28" s="2" t="s">
        <v>29</v>
      </c>
      <c r="G28" s="2" t="s">
        <v>24</v>
      </c>
      <c r="H28" s="2" t="s">
        <v>138</v>
      </c>
      <c r="I28" s="2" t="s">
        <v>19</v>
      </c>
      <c r="J28" s="2" t="s">
        <v>19</v>
      </c>
      <c r="K28" s="2" t="s">
        <v>139</v>
      </c>
    </row>
    <row r="29" customFormat="false" ht="15" hidden="false" customHeight="false" outlineLevel="0" collapsed="false">
      <c r="A29" s="4" t="s">
        <v>126</v>
      </c>
      <c r="B29" s="4" t="s">
        <v>140</v>
      </c>
      <c r="C29" s="4" t="s">
        <v>141</v>
      </c>
      <c r="D29" s="3" t="s">
        <v>14</v>
      </c>
      <c r="E29" s="4" t="s">
        <v>137</v>
      </c>
      <c r="F29" s="4" t="s">
        <v>29</v>
      </c>
      <c r="G29" s="4" t="s">
        <v>24</v>
      </c>
      <c r="H29" s="4" t="s">
        <v>142</v>
      </c>
      <c r="I29" s="4" t="s">
        <v>19</v>
      </c>
      <c r="J29" s="4" t="s">
        <v>19</v>
      </c>
      <c r="K29" s="4" t="s">
        <v>143</v>
      </c>
    </row>
    <row r="30" customFormat="false" ht="23.85" hidden="false" customHeight="false" outlineLevel="0" collapsed="false">
      <c r="A30" s="2" t="s">
        <v>144</v>
      </c>
      <c r="B30" s="2" t="s">
        <v>145</v>
      </c>
      <c r="C30" s="2" t="s">
        <v>146</v>
      </c>
      <c r="D30" s="3" t="s">
        <v>14</v>
      </c>
      <c r="E30" s="2" t="s">
        <v>37</v>
      </c>
      <c r="F30" s="2" t="s">
        <v>23</v>
      </c>
      <c r="G30" s="2" t="s">
        <v>147</v>
      </c>
      <c r="H30" s="2" t="s">
        <v>60</v>
      </c>
      <c r="I30" s="2" t="s">
        <v>32</v>
      </c>
      <c r="J30" s="2" t="s">
        <v>32</v>
      </c>
      <c r="K30" s="2" t="s">
        <v>148</v>
      </c>
    </row>
    <row r="31" customFormat="false" ht="23.85" hidden="false" customHeight="false" outlineLevel="0" collapsed="false">
      <c r="A31" s="4" t="s">
        <v>149</v>
      </c>
      <c r="B31" s="4" t="s">
        <v>150</v>
      </c>
      <c r="C31" s="4" t="s">
        <v>151</v>
      </c>
      <c r="D31" s="3" t="s">
        <v>14</v>
      </c>
      <c r="E31" s="4" t="s">
        <v>152</v>
      </c>
      <c r="F31" s="4" t="s">
        <v>23</v>
      </c>
      <c r="G31" s="4" t="s">
        <v>24</v>
      </c>
      <c r="H31" s="4" t="s">
        <v>153</v>
      </c>
      <c r="I31" s="4" t="s">
        <v>93</v>
      </c>
      <c r="J31" s="4" t="s">
        <v>19</v>
      </c>
      <c r="K31" s="4" t="s">
        <v>154</v>
      </c>
    </row>
    <row r="32" customFormat="false" ht="15" hidden="false" customHeight="false" outlineLevel="0" collapsed="false">
      <c r="A32" s="2" t="s">
        <v>149</v>
      </c>
      <c r="B32" s="2" t="s">
        <v>155</v>
      </c>
      <c r="C32" s="2" t="s">
        <v>156</v>
      </c>
      <c r="D32" s="3" t="s">
        <v>14</v>
      </c>
      <c r="E32" s="2" t="s">
        <v>152</v>
      </c>
      <c r="F32" s="2" t="s">
        <v>23</v>
      </c>
      <c r="G32" s="2" t="s">
        <v>24</v>
      </c>
      <c r="H32" s="2" t="s">
        <v>157</v>
      </c>
      <c r="I32" s="2" t="s">
        <v>93</v>
      </c>
      <c r="J32" s="2" t="s">
        <v>32</v>
      </c>
      <c r="K32" s="2" t="s">
        <v>158</v>
      </c>
    </row>
    <row r="33" customFormat="false" ht="15" hidden="false" customHeight="false" outlineLevel="0" collapsed="false">
      <c r="A33" s="4" t="s">
        <v>149</v>
      </c>
      <c r="B33" s="4" t="s">
        <v>159</v>
      </c>
      <c r="C33" s="4" t="s">
        <v>160</v>
      </c>
      <c r="D33" s="3" t="s">
        <v>14</v>
      </c>
      <c r="E33" s="4" t="s">
        <v>152</v>
      </c>
      <c r="F33" s="4" t="s">
        <v>23</v>
      </c>
      <c r="G33" s="4" t="s">
        <v>24</v>
      </c>
      <c r="H33" s="4" t="s">
        <v>161</v>
      </c>
      <c r="I33" s="4" t="s">
        <v>93</v>
      </c>
      <c r="J33" s="4" t="s">
        <v>32</v>
      </c>
      <c r="K33" s="4" t="s">
        <v>162</v>
      </c>
    </row>
    <row r="34" customFormat="false" ht="15" hidden="false" customHeight="false" outlineLevel="0" collapsed="false">
      <c r="A34" s="2" t="s">
        <v>149</v>
      </c>
      <c r="B34" s="2" t="s">
        <v>163</v>
      </c>
      <c r="C34" s="2" t="s">
        <v>164</v>
      </c>
      <c r="D34" s="3" t="s">
        <v>14</v>
      </c>
      <c r="E34" s="2" t="s">
        <v>152</v>
      </c>
      <c r="F34" s="2" t="s">
        <v>16</v>
      </c>
      <c r="G34" s="2" t="s">
        <v>24</v>
      </c>
      <c r="H34" s="2" t="s">
        <v>165</v>
      </c>
      <c r="I34" s="2" t="s">
        <v>32</v>
      </c>
      <c r="J34" s="2" t="s">
        <v>19</v>
      </c>
      <c r="K34" s="2" t="s">
        <v>166</v>
      </c>
    </row>
    <row r="35" customFormat="false" ht="15" hidden="false" customHeight="false" outlineLevel="0" collapsed="false">
      <c r="A35" s="4" t="s">
        <v>149</v>
      </c>
      <c r="B35" s="4" t="s">
        <v>167</v>
      </c>
      <c r="C35" s="4" t="s">
        <v>168</v>
      </c>
      <c r="D35" s="3" t="s">
        <v>14</v>
      </c>
      <c r="E35" s="4" t="s">
        <v>152</v>
      </c>
      <c r="F35" s="4" t="s">
        <v>16</v>
      </c>
      <c r="G35" s="4" t="s">
        <v>24</v>
      </c>
      <c r="H35" s="4" t="s">
        <v>169</v>
      </c>
      <c r="I35" s="4" t="s">
        <v>93</v>
      </c>
      <c r="J35" s="4" t="s">
        <v>93</v>
      </c>
      <c r="K35" s="4" t="s">
        <v>170</v>
      </c>
    </row>
    <row r="36" customFormat="false" ht="15" hidden="false" customHeight="false" outlineLevel="0" collapsed="false">
      <c r="A36" s="2" t="s">
        <v>171</v>
      </c>
      <c r="B36" s="2" t="s">
        <v>172</v>
      </c>
      <c r="C36" s="2" t="s">
        <v>173</v>
      </c>
      <c r="D36" s="5" t="s">
        <v>106</v>
      </c>
      <c r="E36" s="2" t="s">
        <v>174</v>
      </c>
      <c r="F36" s="2" t="s">
        <v>29</v>
      </c>
      <c r="G36" s="2" t="s">
        <v>175</v>
      </c>
      <c r="H36" s="2" t="s">
        <v>107</v>
      </c>
      <c r="I36" s="2" t="s">
        <v>107</v>
      </c>
      <c r="J36" s="2" t="s">
        <v>19</v>
      </c>
      <c r="K36" s="2" t="s">
        <v>176</v>
      </c>
    </row>
    <row r="37" customFormat="false" ht="15" hidden="false" customHeight="false" outlineLevel="0" collapsed="false">
      <c r="A37" s="4" t="s">
        <v>171</v>
      </c>
      <c r="B37" s="4" t="s">
        <v>177</v>
      </c>
      <c r="C37" s="4" t="s">
        <v>178</v>
      </c>
      <c r="D37" s="5" t="s">
        <v>106</v>
      </c>
      <c r="E37" s="4" t="s">
        <v>179</v>
      </c>
      <c r="F37" s="4" t="s">
        <v>23</v>
      </c>
      <c r="G37" s="4" t="s">
        <v>59</v>
      </c>
      <c r="H37" s="4" t="s">
        <v>107</v>
      </c>
      <c r="I37" s="4" t="s">
        <v>107</v>
      </c>
      <c r="J37" s="4" t="s">
        <v>32</v>
      </c>
      <c r="K37" s="4" t="s">
        <v>180</v>
      </c>
    </row>
    <row r="38" customFormat="false" ht="15" hidden="false" customHeight="false" outlineLevel="0" collapsed="false">
      <c r="A38" s="2" t="s">
        <v>171</v>
      </c>
      <c r="B38" s="2" t="s">
        <v>181</v>
      </c>
      <c r="C38" s="2" t="s">
        <v>182</v>
      </c>
      <c r="D38" s="5" t="s">
        <v>106</v>
      </c>
      <c r="E38" s="2" t="s">
        <v>179</v>
      </c>
      <c r="F38" s="2" t="s">
        <v>29</v>
      </c>
      <c r="G38" s="2" t="s">
        <v>175</v>
      </c>
      <c r="H38" s="2" t="s">
        <v>107</v>
      </c>
      <c r="I38" s="2" t="s">
        <v>107</v>
      </c>
      <c r="J38" s="2" t="s">
        <v>19</v>
      </c>
      <c r="K38" s="2" t="s">
        <v>183</v>
      </c>
    </row>
    <row r="39" customFormat="false" ht="15" hidden="false" customHeight="false" outlineLevel="0" collapsed="false">
      <c r="A39" s="4" t="s">
        <v>184</v>
      </c>
      <c r="B39" s="4" t="s">
        <v>185</v>
      </c>
      <c r="C39" s="4" t="s">
        <v>186</v>
      </c>
      <c r="D39" s="5" t="s">
        <v>106</v>
      </c>
      <c r="E39" s="4" t="s">
        <v>187</v>
      </c>
      <c r="F39" s="4" t="s">
        <v>29</v>
      </c>
      <c r="G39" s="4" t="s">
        <v>17</v>
      </c>
      <c r="H39" s="4" t="s">
        <v>107</v>
      </c>
      <c r="I39" s="4" t="s">
        <v>107</v>
      </c>
      <c r="J39" s="4" t="s">
        <v>19</v>
      </c>
      <c r="K39" s="4" t="s">
        <v>188</v>
      </c>
    </row>
    <row r="40" customFormat="false" ht="15" hidden="false" customHeight="false" outlineLevel="0" collapsed="false">
      <c r="A40" s="2" t="s">
        <v>184</v>
      </c>
      <c r="B40" s="2" t="s">
        <v>189</v>
      </c>
      <c r="C40" s="2" t="s">
        <v>190</v>
      </c>
      <c r="D40" s="5" t="s">
        <v>106</v>
      </c>
      <c r="E40" s="2" t="s">
        <v>187</v>
      </c>
      <c r="F40" s="2" t="s">
        <v>23</v>
      </c>
      <c r="G40" s="2" t="s">
        <v>17</v>
      </c>
      <c r="H40" s="2" t="s">
        <v>107</v>
      </c>
      <c r="I40" s="2" t="s">
        <v>107</v>
      </c>
      <c r="J40" s="2" t="s">
        <v>32</v>
      </c>
      <c r="K40" s="2" t="s">
        <v>191</v>
      </c>
    </row>
    <row r="41" customFormat="false" ht="15" hidden="false" customHeight="false" outlineLevel="0" collapsed="false">
      <c r="A41" s="4" t="s">
        <v>192</v>
      </c>
      <c r="B41" s="4" t="s">
        <v>193</v>
      </c>
      <c r="C41" s="4" t="s">
        <v>194</v>
      </c>
      <c r="D41" s="5" t="s">
        <v>106</v>
      </c>
      <c r="E41" s="4" t="s">
        <v>195</v>
      </c>
      <c r="F41" s="4" t="s">
        <v>23</v>
      </c>
      <c r="G41" s="4" t="s">
        <v>24</v>
      </c>
      <c r="H41" s="4" t="s">
        <v>107</v>
      </c>
      <c r="I41" s="4" t="s">
        <v>107</v>
      </c>
      <c r="J41" s="4" t="s">
        <v>32</v>
      </c>
      <c r="K41" s="4" t="s">
        <v>196</v>
      </c>
    </row>
    <row r="42" customFormat="false" ht="15" hidden="false" customHeight="false" outlineLevel="0" collapsed="false">
      <c r="A42" s="2" t="s">
        <v>192</v>
      </c>
      <c r="B42" s="2" t="s">
        <v>197</v>
      </c>
      <c r="C42" s="2" t="s">
        <v>198</v>
      </c>
      <c r="D42" s="5" t="s">
        <v>106</v>
      </c>
      <c r="E42" s="2" t="s">
        <v>195</v>
      </c>
      <c r="F42" s="2" t="s">
        <v>23</v>
      </c>
      <c r="G42" s="2" t="s">
        <v>76</v>
      </c>
      <c r="H42" s="2" t="s">
        <v>107</v>
      </c>
      <c r="I42" s="2" t="s">
        <v>107</v>
      </c>
      <c r="J42" s="2" t="s">
        <v>93</v>
      </c>
      <c r="K42" s="2" t="s">
        <v>199</v>
      </c>
    </row>
    <row r="43" customFormat="false" ht="15" hidden="false" customHeight="false" outlineLevel="0" collapsed="false">
      <c r="A43" s="4" t="s">
        <v>192</v>
      </c>
      <c r="B43" s="4" t="s">
        <v>200</v>
      </c>
      <c r="C43" s="4" t="s">
        <v>201</v>
      </c>
      <c r="D43" s="5" t="s">
        <v>106</v>
      </c>
      <c r="E43" s="4" t="s">
        <v>195</v>
      </c>
      <c r="F43" s="4" t="s">
        <v>23</v>
      </c>
      <c r="G43" s="4" t="s">
        <v>17</v>
      </c>
      <c r="H43" s="4" t="s">
        <v>107</v>
      </c>
      <c r="I43" s="4" t="s">
        <v>107</v>
      </c>
      <c r="J43" s="4" t="s">
        <v>93</v>
      </c>
      <c r="K43" s="4" t="s">
        <v>202</v>
      </c>
    </row>
    <row r="44" customFormat="false" ht="15" hidden="false" customHeight="false" outlineLevel="0" collapsed="false">
      <c r="A44" s="2" t="s">
        <v>192</v>
      </c>
      <c r="B44" s="2" t="s">
        <v>203</v>
      </c>
      <c r="C44" s="2" t="s">
        <v>204</v>
      </c>
      <c r="D44" s="5" t="s">
        <v>106</v>
      </c>
      <c r="E44" s="2" t="s">
        <v>195</v>
      </c>
      <c r="F44" s="2" t="s">
        <v>23</v>
      </c>
      <c r="G44" s="2" t="s">
        <v>24</v>
      </c>
      <c r="H44" s="2" t="s">
        <v>107</v>
      </c>
      <c r="I44" s="2" t="s">
        <v>107</v>
      </c>
      <c r="J44" s="2" t="s">
        <v>32</v>
      </c>
      <c r="K44" s="2" t="s">
        <v>205</v>
      </c>
    </row>
    <row r="45" customFormat="false" ht="15" hidden="false" customHeight="false" outlineLevel="0" collapsed="false">
      <c r="A45" s="4" t="s">
        <v>192</v>
      </c>
      <c r="B45" s="4" t="s">
        <v>206</v>
      </c>
      <c r="C45" s="4" t="s">
        <v>207</v>
      </c>
      <c r="D45" s="5" t="s">
        <v>106</v>
      </c>
      <c r="E45" s="4" t="s">
        <v>195</v>
      </c>
      <c r="F45" s="4" t="s">
        <v>23</v>
      </c>
      <c r="G45" s="4" t="s">
        <v>24</v>
      </c>
      <c r="H45" s="4" t="s">
        <v>107</v>
      </c>
      <c r="I45" s="4" t="s">
        <v>107</v>
      </c>
      <c r="J45" s="4" t="s">
        <v>32</v>
      </c>
      <c r="K45" s="4" t="s">
        <v>208</v>
      </c>
    </row>
    <row r="46" customFormat="false" ht="15" hidden="false" customHeight="false" outlineLevel="0" collapsed="false">
      <c r="A46" s="2" t="s">
        <v>209</v>
      </c>
      <c r="B46" s="2" t="s">
        <v>210</v>
      </c>
      <c r="C46" s="2" t="s">
        <v>211</v>
      </c>
      <c r="D46" s="5" t="s">
        <v>106</v>
      </c>
      <c r="E46" s="2" t="s">
        <v>212</v>
      </c>
      <c r="F46" s="2" t="s">
        <v>16</v>
      </c>
      <c r="G46" s="2" t="s">
        <v>24</v>
      </c>
      <c r="H46" s="2" t="s">
        <v>107</v>
      </c>
      <c r="I46" s="2" t="s">
        <v>107</v>
      </c>
      <c r="J46" s="2" t="s">
        <v>32</v>
      </c>
      <c r="K46" s="2" t="s">
        <v>213</v>
      </c>
    </row>
    <row r="47" customFormat="false" ht="15" hidden="false" customHeight="false" outlineLevel="0" collapsed="false">
      <c r="A47" s="4" t="s">
        <v>209</v>
      </c>
      <c r="B47" s="4" t="s">
        <v>214</v>
      </c>
      <c r="C47" s="4" t="s">
        <v>215</v>
      </c>
      <c r="D47" s="5" t="s">
        <v>106</v>
      </c>
      <c r="E47" s="4" t="s">
        <v>212</v>
      </c>
      <c r="F47" s="4" t="s">
        <v>16</v>
      </c>
      <c r="G47" s="4" t="s">
        <v>24</v>
      </c>
      <c r="H47" s="4" t="s">
        <v>107</v>
      </c>
      <c r="I47" s="4" t="s">
        <v>107</v>
      </c>
      <c r="J47" s="4" t="s">
        <v>32</v>
      </c>
      <c r="K47" s="4" t="s">
        <v>216</v>
      </c>
    </row>
    <row r="48" customFormat="false" ht="15" hidden="false" customHeight="false" outlineLevel="0" collapsed="false">
      <c r="A48" s="2" t="s">
        <v>209</v>
      </c>
      <c r="B48" s="2" t="s">
        <v>217</v>
      </c>
      <c r="C48" s="2" t="s">
        <v>218</v>
      </c>
      <c r="D48" s="5" t="s">
        <v>106</v>
      </c>
      <c r="E48" s="2" t="s">
        <v>212</v>
      </c>
      <c r="F48" s="2" t="s">
        <v>16</v>
      </c>
      <c r="G48" s="2" t="s">
        <v>24</v>
      </c>
      <c r="H48" s="2" t="s">
        <v>107</v>
      </c>
      <c r="I48" s="2" t="s">
        <v>107</v>
      </c>
      <c r="J48" s="2" t="s">
        <v>32</v>
      </c>
      <c r="K48" s="2" t="s">
        <v>219</v>
      </c>
    </row>
    <row r="49" customFormat="false" ht="15" hidden="false" customHeight="false" outlineLevel="0" collapsed="false">
      <c r="A49" s="4" t="s">
        <v>220</v>
      </c>
      <c r="B49" s="4" t="s">
        <v>221</v>
      </c>
      <c r="C49" s="4" t="s">
        <v>222</v>
      </c>
      <c r="D49" s="6" t="s">
        <v>223</v>
      </c>
      <c r="E49" s="4" t="s">
        <v>224</v>
      </c>
      <c r="F49" s="4" t="s">
        <v>16</v>
      </c>
      <c r="G49" s="4" t="s">
        <v>24</v>
      </c>
      <c r="H49" s="4" t="s">
        <v>107</v>
      </c>
      <c r="I49" s="4" t="s">
        <v>107</v>
      </c>
      <c r="J49" s="4" t="s">
        <v>39</v>
      </c>
      <c r="K49" s="4" t="s">
        <v>225</v>
      </c>
    </row>
    <row r="50" customFormat="false" ht="15" hidden="false" customHeight="false" outlineLevel="0" collapsed="false">
      <c r="A50" s="2" t="s">
        <v>220</v>
      </c>
      <c r="B50" s="2" t="s">
        <v>226</v>
      </c>
      <c r="C50" s="2" t="s">
        <v>227</v>
      </c>
      <c r="D50" s="6" t="s">
        <v>223</v>
      </c>
      <c r="E50" s="2" t="s">
        <v>224</v>
      </c>
      <c r="F50" s="2" t="s">
        <v>16</v>
      </c>
      <c r="G50" s="2" t="s">
        <v>228</v>
      </c>
      <c r="H50" s="2" t="s">
        <v>107</v>
      </c>
      <c r="I50" s="2" t="s">
        <v>107</v>
      </c>
      <c r="J50" s="2" t="s">
        <v>39</v>
      </c>
      <c r="K50" s="2" t="s">
        <v>229</v>
      </c>
    </row>
    <row r="51" customFormat="false" ht="15" hidden="false" customHeight="false" outlineLevel="0" collapsed="false">
      <c r="A51" s="4" t="s">
        <v>230</v>
      </c>
      <c r="B51" s="4" t="s">
        <v>231</v>
      </c>
      <c r="C51" s="4" t="s">
        <v>232</v>
      </c>
      <c r="D51" s="6" t="s">
        <v>223</v>
      </c>
      <c r="E51" s="4" t="s">
        <v>233</v>
      </c>
      <c r="F51" s="4" t="s">
        <v>16</v>
      </c>
      <c r="G51" s="4" t="s">
        <v>24</v>
      </c>
      <c r="H51" s="4" t="s">
        <v>107</v>
      </c>
      <c r="I51" s="4" t="s">
        <v>107</v>
      </c>
      <c r="J51" s="4" t="s">
        <v>19</v>
      </c>
      <c r="K51" s="4" t="s">
        <v>234</v>
      </c>
    </row>
    <row r="52" customFormat="false" ht="15" hidden="false" customHeight="false" outlineLevel="0" collapsed="false">
      <c r="A52" s="2" t="s">
        <v>230</v>
      </c>
      <c r="B52" s="2" t="s">
        <v>235</v>
      </c>
      <c r="C52" s="2" t="s">
        <v>156</v>
      </c>
      <c r="D52" s="6" t="s">
        <v>223</v>
      </c>
      <c r="E52" s="2" t="s">
        <v>233</v>
      </c>
      <c r="F52" s="2" t="s">
        <v>16</v>
      </c>
      <c r="G52" s="2" t="s">
        <v>24</v>
      </c>
      <c r="H52" s="2" t="s">
        <v>107</v>
      </c>
      <c r="I52" s="2" t="s">
        <v>107</v>
      </c>
      <c r="J52" s="2" t="s">
        <v>19</v>
      </c>
      <c r="K52" s="2" t="s">
        <v>236</v>
      </c>
    </row>
    <row r="53" customFormat="false" ht="15" hidden="false" customHeight="false" outlineLevel="0" collapsed="false">
      <c r="A53" s="4" t="s">
        <v>237</v>
      </c>
      <c r="B53" s="4" t="s">
        <v>238</v>
      </c>
      <c r="C53" s="4" t="s">
        <v>239</v>
      </c>
      <c r="D53" s="6" t="s">
        <v>223</v>
      </c>
      <c r="E53" s="4" t="s">
        <v>240</v>
      </c>
      <c r="F53" s="4" t="s">
        <v>16</v>
      </c>
      <c r="G53" s="4" t="s">
        <v>17</v>
      </c>
      <c r="H53" s="4" t="s">
        <v>107</v>
      </c>
      <c r="I53" s="4" t="s">
        <v>107</v>
      </c>
      <c r="J53" s="4" t="s">
        <v>19</v>
      </c>
      <c r="K53" s="4" t="s">
        <v>241</v>
      </c>
    </row>
    <row r="54" customFormat="false" ht="15" hidden="false" customHeight="false" outlineLevel="0" collapsed="false">
      <c r="A54" s="2" t="s">
        <v>237</v>
      </c>
      <c r="B54" s="2" t="s">
        <v>242</v>
      </c>
      <c r="C54" s="2" t="s">
        <v>243</v>
      </c>
      <c r="D54" s="6" t="s">
        <v>223</v>
      </c>
      <c r="E54" s="2" t="s">
        <v>240</v>
      </c>
      <c r="F54" s="2" t="s">
        <v>16</v>
      </c>
      <c r="G54" s="2" t="s">
        <v>228</v>
      </c>
      <c r="H54" s="2" t="s">
        <v>107</v>
      </c>
      <c r="I54" s="2" t="s">
        <v>107</v>
      </c>
      <c r="J54" s="2" t="s">
        <v>19</v>
      </c>
      <c r="K54" s="2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" t="s">
        <v>245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</row>
    <row r="2" customFormat="false" ht="23.85" hidden="false" customHeight="false" outlineLevel="0" collapsed="false">
      <c r="A2" s="7" t="s">
        <v>252</v>
      </c>
      <c r="B2" s="7" t="s">
        <v>253</v>
      </c>
      <c r="C2" s="7" t="s">
        <v>254</v>
      </c>
      <c r="D2" s="7" t="s">
        <v>32</v>
      </c>
      <c r="E2" s="7" t="s">
        <v>255</v>
      </c>
      <c r="F2" s="7" t="s">
        <v>256</v>
      </c>
      <c r="G2" s="7" t="s">
        <v>257</v>
      </c>
    </row>
    <row r="3" customFormat="false" ht="23.85" hidden="false" customHeight="false" outlineLevel="0" collapsed="false">
      <c r="A3" s="7" t="s">
        <v>252</v>
      </c>
      <c r="B3" s="7" t="s">
        <v>258</v>
      </c>
      <c r="C3" s="7" t="s">
        <v>259</v>
      </c>
      <c r="D3" s="7" t="s">
        <v>19</v>
      </c>
      <c r="E3" s="7" t="s">
        <v>260</v>
      </c>
      <c r="F3" s="7" t="s">
        <v>261</v>
      </c>
      <c r="G3" s="7" t="s">
        <v>262</v>
      </c>
    </row>
    <row r="4" customFormat="false" ht="23.85" hidden="false" customHeight="false" outlineLevel="0" collapsed="false">
      <c r="A4" s="7" t="s">
        <v>252</v>
      </c>
      <c r="B4" s="7" t="s">
        <v>263</v>
      </c>
      <c r="C4" s="7" t="s">
        <v>264</v>
      </c>
      <c r="D4" s="7" t="s">
        <v>32</v>
      </c>
      <c r="E4" s="7" t="s">
        <v>265</v>
      </c>
      <c r="F4" s="7" t="s">
        <v>266</v>
      </c>
      <c r="G4" s="7" t="s">
        <v>267</v>
      </c>
    </row>
    <row r="5" customFormat="false" ht="23.85" hidden="false" customHeight="false" outlineLevel="0" collapsed="false">
      <c r="A5" s="8" t="s">
        <v>268</v>
      </c>
      <c r="B5" s="8" t="s">
        <v>269</v>
      </c>
      <c r="C5" s="8" t="s">
        <v>270</v>
      </c>
      <c r="D5" s="8" t="s">
        <v>93</v>
      </c>
      <c r="E5" s="8" t="s">
        <v>271</v>
      </c>
      <c r="F5" s="8" t="s">
        <v>272</v>
      </c>
      <c r="G5" s="8" t="s">
        <v>273</v>
      </c>
    </row>
    <row r="6" customFormat="false" ht="23.85" hidden="false" customHeight="false" outlineLevel="0" collapsed="false">
      <c r="A6" s="8" t="s">
        <v>268</v>
      </c>
      <c r="B6" s="8" t="s">
        <v>274</v>
      </c>
      <c r="C6" s="8" t="s">
        <v>275</v>
      </c>
      <c r="D6" s="8" t="s">
        <v>32</v>
      </c>
      <c r="E6" s="8" t="s">
        <v>276</v>
      </c>
      <c r="F6" s="8" t="s">
        <v>277</v>
      </c>
      <c r="G6" s="8" t="s">
        <v>278</v>
      </c>
    </row>
    <row r="7" customFormat="false" ht="15" hidden="false" customHeight="false" outlineLevel="0" collapsed="false">
      <c r="A7" s="8" t="s">
        <v>268</v>
      </c>
      <c r="B7" s="8" t="s">
        <v>279</v>
      </c>
      <c r="C7" s="8" t="s">
        <v>280</v>
      </c>
      <c r="D7" s="8" t="s">
        <v>93</v>
      </c>
      <c r="E7" s="8" t="s">
        <v>281</v>
      </c>
      <c r="F7" s="8" t="s">
        <v>23</v>
      </c>
      <c r="G7" s="8" t="s">
        <v>282</v>
      </c>
    </row>
    <row r="8" customFormat="false" ht="23.85" hidden="false" customHeight="false" outlineLevel="0" collapsed="false">
      <c r="A8" s="8" t="s">
        <v>268</v>
      </c>
      <c r="B8" s="8" t="s">
        <v>283</v>
      </c>
      <c r="C8" s="8" t="s">
        <v>284</v>
      </c>
      <c r="D8" s="8" t="s">
        <v>32</v>
      </c>
      <c r="E8" s="8" t="s">
        <v>285</v>
      </c>
      <c r="F8" s="8" t="s">
        <v>23</v>
      </c>
      <c r="G8" s="8" t="s">
        <v>286</v>
      </c>
    </row>
    <row r="9" customFormat="false" ht="15" hidden="false" customHeight="false" outlineLevel="0" collapsed="false">
      <c r="A9" s="9" t="s">
        <v>287</v>
      </c>
      <c r="B9" s="9" t="s">
        <v>288</v>
      </c>
      <c r="C9" s="9" t="s">
        <v>289</v>
      </c>
      <c r="D9" s="9" t="s">
        <v>93</v>
      </c>
      <c r="E9" s="9" t="s">
        <v>290</v>
      </c>
      <c r="F9" s="9" t="s">
        <v>23</v>
      </c>
      <c r="G9" s="9" t="s">
        <v>291</v>
      </c>
    </row>
    <row r="10" customFormat="false" ht="23.85" hidden="false" customHeight="false" outlineLevel="0" collapsed="false">
      <c r="A10" s="9" t="s">
        <v>287</v>
      </c>
      <c r="B10" s="9" t="s">
        <v>292</v>
      </c>
      <c r="C10" s="9" t="s">
        <v>293</v>
      </c>
      <c r="D10" s="9" t="s">
        <v>93</v>
      </c>
      <c r="E10" s="9" t="s">
        <v>294</v>
      </c>
      <c r="F10" s="9" t="s">
        <v>23</v>
      </c>
      <c r="G10" s="9" t="s">
        <v>295</v>
      </c>
    </row>
    <row r="11" customFormat="false" ht="23.85" hidden="false" customHeight="false" outlineLevel="0" collapsed="false">
      <c r="A11" s="9" t="s">
        <v>287</v>
      </c>
      <c r="B11" s="9" t="s">
        <v>296</v>
      </c>
      <c r="C11" s="9" t="s">
        <v>297</v>
      </c>
      <c r="D11" s="9" t="s">
        <v>93</v>
      </c>
      <c r="E11" s="9" t="s">
        <v>298</v>
      </c>
      <c r="F11" s="9" t="s">
        <v>23</v>
      </c>
      <c r="G11" s="9" t="s">
        <v>299</v>
      </c>
    </row>
    <row r="12" customFormat="false" ht="15" hidden="false" customHeight="false" outlineLevel="0" collapsed="false">
      <c r="A12" s="9" t="s">
        <v>287</v>
      </c>
      <c r="B12" s="9" t="s">
        <v>300</v>
      </c>
      <c r="C12" s="9" t="s">
        <v>301</v>
      </c>
      <c r="D12" s="9" t="s">
        <v>93</v>
      </c>
      <c r="E12" s="9" t="s">
        <v>75</v>
      </c>
      <c r="F12" s="9" t="s">
        <v>23</v>
      </c>
      <c r="G12" s="9" t="s">
        <v>302</v>
      </c>
    </row>
    <row r="13" customFormat="false" ht="15" hidden="false" customHeight="false" outlineLevel="0" collapsed="false">
      <c r="A13" s="2" t="s">
        <v>303</v>
      </c>
      <c r="B13" s="2" t="s">
        <v>304</v>
      </c>
      <c r="C13" s="2" t="s">
        <v>305</v>
      </c>
      <c r="D13" s="2" t="s">
        <v>306</v>
      </c>
      <c r="E13" s="2" t="s">
        <v>107</v>
      </c>
      <c r="F13" s="2" t="s">
        <v>107</v>
      </c>
      <c r="G13" s="2" t="s">
        <v>307</v>
      </c>
    </row>
    <row r="14" customFormat="false" ht="23.85" hidden="false" customHeight="false" outlineLevel="0" collapsed="false">
      <c r="A14" s="2" t="s">
        <v>303</v>
      </c>
      <c r="B14" s="2" t="s">
        <v>308</v>
      </c>
      <c r="C14" s="2" t="s">
        <v>309</v>
      </c>
      <c r="D14" s="2" t="s">
        <v>93</v>
      </c>
      <c r="E14" s="2" t="s">
        <v>107</v>
      </c>
      <c r="F14" s="2" t="s">
        <v>107</v>
      </c>
      <c r="G14" s="2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5"/>
    <col collapsed="false" customWidth="true" hidden="false" outlineLevel="0" max="6" min="6" style="0" width="35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4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</row>
    <row r="2" customFormat="false" ht="15" hidden="false" customHeight="false" outlineLevel="0" collapsed="false">
      <c r="A2" s="10" t="s">
        <v>15</v>
      </c>
      <c r="B2" s="10" t="s">
        <v>317</v>
      </c>
      <c r="C2" s="10" t="s">
        <v>318</v>
      </c>
      <c r="D2" s="10" t="s">
        <v>319</v>
      </c>
      <c r="E2" s="10" t="s">
        <v>320</v>
      </c>
      <c r="F2" s="10" t="s">
        <v>321</v>
      </c>
      <c r="G2" s="10" t="s">
        <v>93</v>
      </c>
    </row>
    <row r="3" customFormat="false" ht="15" hidden="false" customHeight="false" outlineLevel="0" collapsed="false">
      <c r="A3" s="10" t="s">
        <v>48</v>
      </c>
      <c r="B3" s="10" t="s">
        <v>317</v>
      </c>
      <c r="C3" s="10" t="s">
        <v>322</v>
      </c>
      <c r="D3" s="10" t="s">
        <v>319</v>
      </c>
      <c r="E3" s="10" t="s">
        <v>323</v>
      </c>
      <c r="F3" s="10" t="s">
        <v>324</v>
      </c>
      <c r="G3" s="10" t="s">
        <v>93</v>
      </c>
    </row>
    <row r="4" customFormat="false" ht="23.85" hidden="false" customHeight="false" outlineLevel="0" collapsed="false">
      <c r="A4" s="10" t="s">
        <v>75</v>
      </c>
      <c r="B4" s="10" t="s">
        <v>325</v>
      </c>
      <c r="C4" s="10" t="s">
        <v>326</v>
      </c>
      <c r="D4" s="10" t="s">
        <v>319</v>
      </c>
      <c r="E4" s="10" t="s">
        <v>327</v>
      </c>
      <c r="F4" s="10" t="s">
        <v>328</v>
      </c>
      <c r="G4" s="10" t="s">
        <v>93</v>
      </c>
    </row>
    <row r="5" customFormat="false" ht="23.85" hidden="false" customHeight="false" outlineLevel="0" collapsed="false">
      <c r="A5" s="10" t="s">
        <v>112</v>
      </c>
      <c r="B5" s="10" t="s">
        <v>317</v>
      </c>
      <c r="C5" s="10" t="s">
        <v>329</v>
      </c>
      <c r="D5" s="10" t="s">
        <v>19</v>
      </c>
      <c r="E5" s="10" t="s">
        <v>330</v>
      </c>
      <c r="F5" s="10" t="s">
        <v>331</v>
      </c>
      <c r="G5" s="10" t="s">
        <v>93</v>
      </c>
    </row>
    <row r="6" customFormat="false" ht="23.85" hidden="false" customHeight="false" outlineLevel="0" collapsed="false">
      <c r="A6" s="10" t="s">
        <v>37</v>
      </c>
      <c r="B6" s="10" t="s">
        <v>332</v>
      </c>
      <c r="C6" s="10" t="s">
        <v>333</v>
      </c>
      <c r="D6" s="10" t="s">
        <v>19</v>
      </c>
      <c r="E6" s="10" t="s">
        <v>334</v>
      </c>
      <c r="F6" s="10" t="s">
        <v>335</v>
      </c>
      <c r="G6" s="10" t="s">
        <v>32</v>
      </c>
    </row>
    <row r="7" customFormat="false" ht="23.85" hidden="false" customHeight="false" outlineLevel="0" collapsed="false">
      <c r="A7" s="10" t="s">
        <v>137</v>
      </c>
      <c r="B7" s="10" t="s">
        <v>336</v>
      </c>
      <c r="C7" s="10" t="s">
        <v>337</v>
      </c>
      <c r="D7" s="10" t="s">
        <v>19</v>
      </c>
      <c r="E7" s="10" t="s">
        <v>338</v>
      </c>
      <c r="F7" s="10" t="s">
        <v>339</v>
      </c>
      <c r="G7" s="10" t="s">
        <v>93</v>
      </c>
    </row>
    <row r="8" customFormat="false" ht="23.85" hidden="false" customHeight="false" outlineLevel="0" collapsed="false">
      <c r="A8" s="7" t="s">
        <v>152</v>
      </c>
      <c r="B8" s="7" t="s">
        <v>340</v>
      </c>
      <c r="C8" s="7" t="s">
        <v>341</v>
      </c>
      <c r="D8" s="7" t="s">
        <v>342</v>
      </c>
      <c r="E8" s="7" t="s">
        <v>343</v>
      </c>
      <c r="F8" s="7" t="s">
        <v>344</v>
      </c>
      <c r="G8" s="7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346</v>
      </c>
      <c r="B1" s="1" t="s">
        <v>347</v>
      </c>
      <c r="C1" s="1" t="s">
        <v>348</v>
      </c>
      <c r="D1" s="1" t="s">
        <v>349</v>
      </c>
      <c r="E1" s="1" t="s">
        <v>350</v>
      </c>
      <c r="F1" s="1" t="s">
        <v>245</v>
      </c>
    </row>
    <row r="2" customFormat="false" ht="15" hidden="false" customHeight="false" outlineLevel="0" collapsed="false">
      <c r="A2" s="10" t="s">
        <v>351</v>
      </c>
      <c r="B2" s="10" t="n">
        <v>3</v>
      </c>
      <c r="C2" s="10" t="n">
        <v>3</v>
      </c>
      <c r="D2" s="11" t="s">
        <v>352</v>
      </c>
      <c r="E2" s="10" t="s">
        <v>107</v>
      </c>
      <c r="F2" s="10" t="s">
        <v>353</v>
      </c>
    </row>
    <row r="3" customFormat="false" ht="15" hidden="false" customHeight="false" outlineLevel="0" collapsed="false">
      <c r="A3" s="10" t="s">
        <v>354</v>
      </c>
      <c r="B3" s="10" t="n">
        <v>2</v>
      </c>
      <c r="C3" s="10" t="n">
        <v>2</v>
      </c>
      <c r="D3" s="11" t="s">
        <v>352</v>
      </c>
      <c r="E3" s="10" t="s">
        <v>107</v>
      </c>
      <c r="F3" s="10" t="s">
        <v>353</v>
      </c>
    </row>
    <row r="4" customFormat="false" ht="15" hidden="false" customHeight="false" outlineLevel="0" collapsed="false">
      <c r="A4" s="10" t="s">
        <v>355</v>
      </c>
      <c r="B4" s="10" t="n">
        <v>6</v>
      </c>
      <c r="C4" s="10" t="n">
        <v>6</v>
      </c>
      <c r="D4" s="11" t="s">
        <v>352</v>
      </c>
      <c r="E4" s="10" t="s">
        <v>107</v>
      </c>
      <c r="F4" s="10" t="s">
        <v>353</v>
      </c>
    </row>
    <row r="5" customFormat="false" ht="15" hidden="false" customHeight="false" outlineLevel="0" collapsed="false">
      <c r="A5" s="9" t="s">
        <v>356</v>
      </c>
      <c r="B5" s="9" t="n">
        <v>8</v>
      </c>
      <c r="C5" s="9" t="n">
        <v>9</v>
      </c>
      <c r="D5" s="12" t="s">
        <v>357</v>
      </c>
      <c r="E5" s="9" t="s">
        <v>358</v>
      </c>
      <c r="F5" s="9" t="s">
        <v>359</v>
      </c>
    </row>
    <row r="6" customFormat="false" ht="15" hidden="false" customHeight="false" outlineLevel="0" collapsed="false">
      <c r="A6" s="10" t="s">
        <v>360</v>
      </c>
      <c r="B6" s="10" t="n">
        <v>4</v>
      </c>
      <c r="C6" s="10" t="n">
        <v>4</v>
      </c>
      <c r="D6" s="11" t="s">
        <v>352</v>
      </c>
      <c r="E6" s="10" t="s">
        <v>107</v>
      </c>
      <c r="F6" s="10" t="s">
        <v>353</v>
      </c>
    </row>
    <row r="7" customFormat="false" ht="15" hidden="false" customHeight="false" outlineLevel="0" collapsed="false">
      <c r="A7" s="10" t="s">
        <v>361</v>
      </c>
      <c r="B7" s="10" t="n">
        <v>4</v>
      </c>
      <c r="C7" s="10" t="n">
        <v>4</v>
      </c>
      <c r="D7" s="11" t="s">
        <v>352</v>
      </c>
      <c r="E7" s="10" t="s">
        <v>107</v>
      </c>
      <c r="F7" s="10" t="s">
        <v>353</v>
      </c>
    </row>
    <row r="8" customFormat="false" ht="15" hidden="false" customHeight="false" outlineLevel="0" collapsed="false">
      <c r="A8" s="10" t="s">
        <v>144</v>
      </c>
      <c r="B8" s="10" t="n">
        <v>1</v>
      </c>
      <c r="C8" s="10" t="n">
        <v>1</v>
      </c>
      <c r="D8" s="11" t="s">
        <v>352</v>
      </c>
      <c r="E8" s="10" t="s">
        <v>107</v>
      </c>
      <c r="F8" s="10" t="s">
        <v>353</v>
      </c>
    </row>
    <row r="9" customFormat="false" ht="15" hidden="false" customHeight="false" outlineLevel="0" collapsed="false">
      <c r="A9" s="8" t="s">
        <v>362</v>
      </c>
      <c r="B9" s="8" t="n">
        <v>5</v>
      </c>
      <c r="C9" s="8" t="n">
        <v>5</v>
      </c>
      <c r="D9" s="13" t="s">
        <v>363</v>
      </c>
      <c r="E9" s="8" t="s">
        <v>364</v>
      </c>
      <c r="F9" s="8" t="s">
        <v>365</v>
      </c>
    </row>
    <row r="10" customFormat="false" ht="15" hidden="false" customHeight="false" outlineLevel="0" collapsed="false">
      <c r="A10" s="7" t="s">
        <v>366</v>
      </c>
      <c r="B10" s="7" t="n">
        <v>0</v>
      </c>
      <c r="C10" s="7" t="n">
        <v>2</v>
      </c>
      <c r="D10" s="14" t="s">
        <v>367</v>
      </c>
      <c r="E10" s="7" t="s">
        <v>368</v>
      </c>
      <c r="F10" s="7" t="s">
        <v>365</v>
      </c>
    </row>
    <row r="11" customFormat="false" ht="15" hidden="false" customHeight="false" outlineLevel="0" collapsed="false">
      <c r="A11" s="7" t="s">
        <v>369</v>
      </c>
      <c r="B11" s="7" t="n">
        <v>0</v>
      </c>
      <c r="C11" s="7" t="n">
        <v>2</v>
      </c>
      <c r="D11" s="14" t="s">
        <v>367</v>
      </c>
      <c r="E11" s="7" t="s">
        <v>370</v>
      </c>
      <c r="F11" s="7" t="s">
        <v>365</v>
      </c>
    </row>
    <row r="12" customFormat="false" ht="15" hidden="false" customHeight="false" outlineLevel="0" collapsed="false">
      <c r="A12" s="7" t="s">
        <v>371</v>
      </c>
      <c r="B12" s="7" t="n">
        <v>0</v>
      </c>
      <c r="C12" s="7" t="n">
        <v>2</v>
      </c>
      <c r="D12" s="14" t="s">
        <v>367</v>
      </c>
      <c r="E12" s="7" t="s">
        <v>372</v>
      </c>
      <c r="F12" s="7" t="s">
        <v>373</v>
      </c>
    </row>
    <row r="13" customFormat="false" ht="15" hidden="false" customHeight="false" outlineLevel="0" collapsed="false">
      <c r="A13" s="7" t="s">
        <v>374</v>
      </c>
      <c r="B13" s="7" t="n">
        <v>0</v>
      </c>
      <c r="C13" s="7" t="n">
        <v>2</v>
      </c>
      <c r="D13" s="14" t="s">
        <v>367</v>
      </c>
      <c r="E13" s="7" t="s">
        <v>375</v>
      </c>
      <c r="F13" s="7" t="s">
        <v>373</v>
      </c>
    </row>
    <row r="14" customFormat="false" ht="15" hidden="false" customHeight="false" outlineLevel="0" collapsed="false">
      <c r="A14" s="7" t="s">
        <v>376</v>
      </c>
      <c r="B14" s="7" t="n">
        <v>0</v>
      </c>
      <c r="C14" s="7" t="n">
        <v>2</v>
      </c>
      <c r="D14" s="14" t="s">
        <v>367</v>
      </c>
      <c r="E14" s="7" t="s">
        <v>377</v>
      </c>
      <c r="F14" s="7" t="s">
        <v>373</v>
      </c>
    </row>
    <row r="15" customFormat="false" ht="15" hidden="false" customHeight="false" outlineLevel="0" collapsed="false">
      <c r="A15" s="7" t="s">
        <v>378</v>
      </c>
      <c r="B15" s="7" t="n">
        <v>0</v>
      </c>
      <c r="C15" s="7" t="n">
        <v>5</v>
      </c>
      <c r="D15" s="14" t="s">
        <v>367</v>
      </c>
      <c r="E15" s="7" t="s">
        <v>379</v>
      </c>
      <c r="F15" s="7" t="s">
        <v>359</v>
      </c>
    </row>
    <row r="16" customFormat="false" ht="15" hidden="false" customHeight="false" outlineLevel="0" collapsed="false">
      <c r="A16" s="7" t="s">
        <v>209</v>
      </c>
      <c r="B16" s="7" t="n">
        <v>0</v>
      </c>
      <c r="C16" s="7" t="n">
        <v>3</v>
      </c>
      <c r="D16" s="14" t="s">
        <v>367</v>
      </c>
      <c r="E16" s="7" t="s">
        <v>380</v>
      </c>
      <c r="F16" s="7" t="s">
        <v>359</v>
      </c>
    </row>
    <row r="17" customFormat="false" ht="15" hidden="false" customHeight="false" outlineLevel="0" collapsed="false">
      <c r="A17" s="9" t="s">
        <v>381</v>
      </c>
      <c r="B17" s="9" t="n">
        <v>2</v>
      </c>
      <c r="C17" s="9" t="n">
        <v>3</v>
      </c>
      <c r="D17" s="12" t="s">
        <v>382</v>
      </c>
      <c r="E17" s="9" t="s">
        <v>383</v>
      </c>
      <c r="F17" s="9" t="s">
        <v>373</v>
      </c>
    </row>
    <row r="19" customFormat="false" ht="15" hidden="false" customHeight="false" outlineLevel="0" collapsed="false">
      <c r="A19" s="15" t="s">
        <v>384</v>
      </c>
      <c r="B19" s="16" t="n">
        <f aca="false">SUM(B2:B17)</f>
        <v>35</v>
      </c>
      <c r="C19" s="16" t="n">
        <f aca="false">SUM(C2:C17)</f>
        <v>55</v>
      </c>
      <c r="D19" s="15" t="str">
        <f aca="false">TEXT(B19/C19,"0%")</f>
        <v>64%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" t="s">
        <v>385</v>
      </c>
      <c r="B1" s="1" t="s">
        <v>386</v>
      </c>
      <c r="C1" s="1" t="s">
        <v>248</v>
      </c>
      <c r="D1" s="1" t="s">
        <v>387</v>
      </c>
      <c r="E1" s="1" t="s">
        <v>388</v>
      </c>
    </row>
    <row r="2" customFormat="false" ht="15" hidden="false" customHeight="false" outlineLevel="0" collapsed="false">
      <c r="A2" s="10" t="s">
        <v>389</v>
      </c>
      <c r="B2" s="10" t="s">
        <v>390</v>
      </c>
      <c r="C2" s="10" t="s">
        <v>391</v>
      </c>
      <c r="D2" s="10" t="s">
        <v>306</v>
      </c>
      <c r="E2" s="10" t="s">
        <v>392</v>
      </c>
    </row>
    <row r="3" customFormat="false" ht="15" hidden="false" customHeight="false" outlineLevel="0" collapsed="false">
      <c r="A3" s="10" t="s">
        <v>389</v>
      </c>
      <c r="B3" s="10" t="s">
        <v>393</v>
      </c>
      <c r="C3" s="10" t="s">
        <v>394</v>
      </c>
      <c r="D3" s="10" t="s">
        <v>306</v>
      </c>
      <c r="E3" s="10" t="s">
        <v>395</v>
      </c>
    </row>
    <row r="4" customFormat="false" ht="15" hidden="false" customHeight="false" outlineLevel="0" collapsed="false">
      <c r="A4" s="10" t="s">
        <v>389</v>
      </c>
      <c r="B4" s="10" t="s">
        <v>396</v>
      </c>
      <c r="C4" s="10" t="s">
        <v>397</v>
      </c>
      <c r="D4" s="10" t="s">
        <v>306</v>
      </c>
      <c r="E4" s="10" t="s">
        <v>398</v>
      </c>
    </row>
    <row r="5" customFormat="false" ht="15" hidden="false" customHeight="false" outlineLevel="0" collapsed="false">
      <c r="A5" s="10" t="s">
        <v>389</v>
      </c>
      <c r="B5" s="10" t="s">
        <v>399</v>
      </c>
      <c r="C5" s="10" t="s">
        <v>394</v>
      </c>
      <c r="D5" s="10" t="s">
        <v>306</v>
      </c>
      <c r="E5" s="10" t="s">
        <v>400</v>
      </c>
    </row>
    <row r="6" customFormat="false" ht="15" hidden="false" customHeight="false" outlineLevel="0" collapsed="false">
      <c r="A6" s="10" t="s">
        <v>389</v>
      </c>
      <c r="B6" s="10" t="s">
        <v>401</v>
      </c>
      <c r="C6" s="10" t="s">
        <v>394</v>
      </c>
      <c r="D6" s="10" t="s">
        <v>306</v>
      </c>
      <c r="E6" s="10" t="s">
        <v>402</v>
      </c>
    </row>
    <row r="7" customFormat="false" ht="15" hidden="false" customHeight="false" outlineLevel="0" collapsed="false">
      <c r="A7" s="17" t="s">
        <v>403</v>
      </c>
      <c r="B7" s="17" t="s">
        <v>404</v>
      </c>
      <c r="C7" s="17" t="s">
        <v>405</v>
      </c>
      <c r="D7" s="17" t="s">
        <v>281</v>
      </c>
      <c r="E7" s="17" t="s">
        <v>406</v>
      </c>
    </row>
    <row r="8" customFormat="false" ht="15" hidden="false" customHeight="false" outlineLevel="0" collapsed="false">
      <c r="A8" s="17" t="s">
        <v>403</v>
      </c>
      <c r="B8" s="17" t="s">
        <v>407</v>
      </c>
      <c r="C8" s="17" t="s">
        <v>397</v>
      </c>
      <c r="D8" s="17" t="s">
        <v>408</v>
      </c>
      <c r="E8" s="17" t="s">
        <v>409</v>
      </c>
    </row>
    <row r="9" customFormat="false" ht="15" hidden="false" customHeight="false" outlineLevel="0" collapsed="false">
      <c r="A9" s="17" t="s">
        <v>403</v>
      </c>
      <c r="B9" s="17" t="s">
        <v>410</v>
      </c>
      <c r="C9" s="17" t="s">
        <v>411</v>
      </c>
      <c r="D9" s="17" t="s">
        <v>412</v>
      </c>
      <c r="E9" s="17" t="s">
        <v>413</v>
      </c>
    </row>
    <row r="10" customFormat="false" ht="15" hidden="false" customHeight="false" outlineLevel="0" collapsed="false">
      <c r="A10" s="9" t="s">
        <v>414</v>
      </c>
      <c r="B10" s="9" t="s">
        <v>415</v>
      </c>
      <c r="C10" s="9" t="s">
        <v>405</v>
      </c>
      <c r="D10" s="9" t="s">
        <v>290</v>
      </c>
      <c r="E10" s="9" t="s">
        <v>416</v>
      </c>
    </row>
    <row r="11" customFormat="false" ht="15" hidden="false" customHeight="false" outlineLevel="0" collapsed="false">
      <c r="A11" s="9" t="s">
        <v>414</v>
      </c>
      <c r="B11" s="9" t="s">
        <v>417</v>
      </c>
      <c r="C11" s="9" t="s">
        <v>405</v>
      </c>
      <c r="D11" s="9" t="s">
        <v>418</v>
      </c>
      <c r="E11" s="9" t="s">
        <v>419</v>
      </c>
    </row>
    <row r="12" customFormat="false" ht="15" hidden="false" customHeight="false" outlineLevel="0" collapsed="false">
      <c r="A12" s="9" t="s">
        <v>414</v>
      </c>
      <c r="B12" s="9" t="s">
        <v>420</v>
      </c>
      <c r="C12" s="9" t="s">
        <v>405</v>
      </c>
      <c r="D12" s="9" t="s">
        <v>421</v>
      </c>
      <c r="E12" s="9" t="s">
        <v>422</v>
      </c>
    </row>
    <row r="13" customFormat="false" ht="15" hidden="false" customHeight="false" outlineLevel="0" collapsed="false">
      <c r="A13" s="8" t="s">
        <v>423</v>
      </c>
      <c r="B13" s="8" t="s">
        <v>424</v>
      </c>
      <c r="C13" s="8" t="s">
        <v>411</v>
      </c>
      <c r="D13" s="8" t="s">
        <v>425</v>
      </c>
      <c r="E13" s="8" t="s">
        <v>426</v>
      </c>
    </row>
    <row r="14" customFormat="false" ht="15" hidden="false" customHeight="false" outlineLevel="0" collapsed="false">
      <c r="A14" s="8" t="s">
        <v>423</v>
      </c>
      <c r="B14" s="8" t="s">
        <v>427</v>
      </c>
      <c r="C14" s="8" t="s">
        <v>405</v>
      </c>
      <c r="D14" s="8" t="s">
        <v>428</v>
      </c>
      <c r="E14" s="8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2026-04-11T03:02:36Z</dcterms:created>
  <dc:creator>openpyxl</dc:creator>
  <dc:description/>
  <dc:language>en-US</dc:language>
  <cp:lastModifiedBy/>
  <dcterms:modified xsi:type="dcterms:W3CDTF">2026-04-11T03:02:36Z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